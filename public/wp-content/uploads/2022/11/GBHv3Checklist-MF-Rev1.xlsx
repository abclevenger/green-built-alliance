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Users\ldickens\Desktop\GBA stuff\"/>
    </mc:Choice>
  </mc:AlternateContent>
  <xr:revisionPtr revIDLastSave="0" documentId="13_ncr:1_{A7E35DA8-5D71-4C9D-AD99-8782030F4010}" xr6:coauthVersionLast="47" xr6:coauthVersionMax="47" xr10:uidLastSave="{00000000-0000-0000-0000-000000000000}"/>
  <bookViews>
    <workbookView xWindow="-110" yWindow="-110" windowWidth="19420" windowHeight="10420" xr2:uid="{00000000-000D-0000-FFFF-FFFF00000000}"/>
  </bookViews>
  <sheets>
    <sheet name="GBHv3MFRev1-ChangesInRed" sheetId="1" r:id="rId1"/>
  </sheets>
  <definedNames>
    <definedName name="_xlnm.Print_Area" localSheetId="0">'GBHv3MFRev1-ChangesInRed'!$A$1:$M$549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42" i="1" l="1"/>
  <c r="J435" i="1"/>
  <c r="I442" i="1"/>
  <c r="I435" i="1"/>
  <c r="J202" i="1" l="1"/>
  <c r="J201" i="1"/>
  <c r="J188" i="1"/>
  <c r="I202" i="1"/>
  <c r="I201" i="1"/>
  <c r="I188" i="1"/>
  <c r="J183" i="1"/>
  <c r="J169" i="1"/>
  <c r="I183" i="1"/>
  <c r="I169" i="1"/>
  <c r="I181" i="1"/>
  <c r="J163" i="1"/>
  <c r="J159" i="1"/>
  <c r="I153" i="1"/>
  <c r="I155" i="1"/>
  <c r="I156" i="1"/>
  <c r="I157" i="1"/>
  <c r="J157" i="1"/>
  <c r="J156" i="1"/>
  <c r="J155" i="1"/>
  <c r="J154" i="1"/>
  <c r="J153" i="1"/>
  <c r="I154" i="1"/>
  <c r="J150" i="1"/>
  <c r="J139" i="1"/>
  <c r="J138" i="1"/>
  <c r="J131" i="1"/>
  <c r="J132" i="1"/>
  <c r="I182" i="1"/>
  <c r="I178" i="1"/>
  <c r="I443" i="1"/>
  <c r="I83" i="1"/>
  <c r="J198" i="1"/>
  <c r="I198" i="1"/>
  <c r="I196" i="1"/>
  <c r="I504" i="1" l="1"/>
  <c r="J338" i="1"/>
  <c r="J337" i="1"/>
  <c r="J334" i="1"/>
  <c r="I338" i="1"/>
  <c r="I337" i="1"/>
  <c r="I334" i="1"/>
  <c r="J323" i="1"/>
  <c r="J322" i="1"/>
  <c r="J321" i="1"/>
  <c r="J320" i="1"/>
  <c r="I323" i="1"/>
  <c r="I322" i="1"/>
  <c r="I321" i="1"/>
  <c r="I320" i="1"/>
  <c r="J246" i="1"/>
  <c r="J245" i="1"/>
  <c r="J244" i="1"/>
  <c r="J243" i="1"/>
  <c r="J204" i="1"/>
  <c r="J232" i="1"/>
  <c r="I232" i="1"/>
  <c r="I246" i="1"/>
  <c r="I245" i="1"/>
  <c r="I244" i="1"/>
  <c r="I243" i="1"/>
  <c r="I200" i="1"/>
  <c r="I132" i="1"/>
  <c r="I131" i="1"/>
  <c r="I139" i="1"/>
  <c r="I138" i="1"/>
  <c r="J123" i="1"/>
  <c r="J122" i="1"/>
  <c r="J113" i="1"/>
  <c r="I123" i="1"/>
  <c r="I122" i="1"/>
  <c r="I111" i="1"/>
  <c r="I87" i="1"/>
  <c r="I76" i="1"/>
  <c r="J88" i="1"/>
  <c r="J89" i="1"/>
  <c r="J90" i="1"/>
  <c r="J87" i="1"/>
  <c r="J82" i="1"/>
  <c r="I88" i="1"/>
  <c r="I89" i="1"/>
  <c r="I90" i="1"/>
  <c r="I82" i="1"/>
  <c r="I465" i="1"/>
  <c r="I508" i="1"/>
  <c r="J508" i="1"/>
  <c r="K508" i="1" s="1"/>
  <c r="I507" i="1"/>
  <c r="J507" i="1"/>
  <c r="K507" i="1" s="1"/>
  <c r="J111" i="1" l="1"/>
  <c r="J115" i="1"/>
  <c r="I115" i="1"/>
  <c r="I117" i="1"/>
  <c r="J196" i="1" l="1"/>
  <c r="I120" i="1"/>
  <c r="J120" i="1"/>
  <c r="K120" i="1" s="1"/>
  <c r="I326" i="1"/>
  <c r="I325" i="1" l="1"/>
  <c r="O61" i="1" l="1"/>
  <c r="K456" i="1" l="1"/>
  <c r="K360" i="1"/>
  <c r="J325" i="1"/>
  <c r="K325" i="1" s="1"/>
  <c r="J326" i="1"/>
  <c r="K196" i="1"/>
  <c r="J160" i="1"/>
  <c r="I160" i="1"/>
  <c r="I159" i="1"/>
  <c r="K326" i="1" l="1"/>
  <c r="O81" i="1" l="1"/>
  <c r="J430" i="1" l="1"/>
  <c r="K430" i="1" s="1"/>
  <c r="I430" i="1"/>
  <c r="J501" i="1"/>
  <c r="K501" i="1" s="1"/>
  <c r="I501" i="1"/>
  <c r="J327" i="1" l="1"/>
  <c r="J83" i="1"/>
  <c r="O83" i="1"/>
  <c r="K83" i="1"/>
  <c r="J79" i="1"/>
  <c r="I79" i="1"/>
  <c r="O79" i="1"/>
  <c r="K79" i="1"/>
  <c r="A15" i="1"/>
  <c r="J375" i="1"/>
  <c r="I375" i="1"/>
  <c r="J374" i="1"/>
  <c r="I374" i="1"/>
  <c r="J373" i="1"/>
  <c r="K373" i="1" s="1"/>
  <c r="I373" i="1"/>
  <c r="J173" i="1"/>
  <c r="K173" i="1" s="1"/>
  <c r="I173" i="1"/>
  <c r="J172" i="1"/>
  <c r="K172" i="1" s="1"/>
  <c r="I172" i="1"/>
  <c r="J171" i="1"/>
  <c r="I171" i="1"/>
  <c r="J95" i="1"/>
  <c r="I95" i="1"/>
  <c r="J523" i="1" l="1"/>
  <c r="K523" i="1" s="1"/>
  <c r="I523" i="1"/>
  <c r="K375" i="1" l="1"/>
  <c r="K374" i="1"/>
  <c r="J433" i="1"/>
  <c r="K433" i="1" s="1"/>
  <c r="I433" i="1"/>
  <c r="J391" i="1"/>
  <c r="K391" i="1" s="1"/>
  <c r="I391" i="1"/>
  <c r="K160" i="1" l="1"/>
  <c r="K159" i="1"/>
  <c r="J136" i="1"/>
  <c r="K136" i="1" s="1"/>
  <c r="J135" i="1"/>
  <c r="K135" i="1" s="1"/>
  <c r="J134" i="1"/>
  <c r="K134" i="1" s="1"/>
  <c r="J117" i="1"/>
  <c r="J118" i="1"/>
  <c r="J119" i="1"/>
  <c r="I136" i="1"/>
  <c r="I135" i="1"/>
  <c r="I134" i="1"/>
  <c r="I456" i="1"/>
  <c r="J456" i="1"/>
  <c r="J547" i="1" l="1"/>
  <c r="K547" i="1" s="1"/>
  <c r="I547" i="1"/>
  <c r="J546" i="1"/>
  <c r="K546" i="1" s="1"/>
  <c r="I546" i="1"/>
  <c r="J545" i="1"/>
  <c r="K545" i="1" s="1"/>
  <c r="I545" i="1"/>
  <c r="J544" i="1"/>
  <c r="K544" i="1" s="1"/>
  <c r="I544" i="1"/>
  <c r="J543" i="1"/>
  <c r="K543" i="1" s="1"/>
  <c r="I543" i="1"/>
  <c r="J542" i="1"/>
  <c r="K542" i="1" s="1"/>
  <c r="I542" i="1"/>
  <c r="J541" i="1"/>
  <c r="K541" i="1" s="1"/>
  <c r="I541" i="1"/>
  <c r="J540" i="1"/>
  <c r="K540" i="1" s="1"/>
  <c r="I540" i="1"/>
  <c r="J539" i="1"/>
  <c r="K539" i="1" s="1"/>
  <c r="I539" i="1"/>
  <c r="O538" i="1"/>
  <c r="J538" i="1"/>
  <c r="K538" i="1" s="1"/>
  <c r="I538" i="1"/>
  <c r="O536" i="1"/>
  <c r="J536" i="1"/>
  <c r="K536" i="1" s="1"/>
  <c r="I536" i="1"/>
  <c r="O535" i="1"/>
  <c r="J535" i="1"/>
  <c r="K535" i="1" s="1"/>
  <c r="I535" i="1"/>
  <c r="J534" i="1"/>
  <c r="K534" i="1" s="1"/>
  <c r="I534" i="1"/>
  <c r="O533" i="1"/>
  <c r="J533" i="1"/>
  <c r="K533" i="1" s="1"/>
  <c r="I533" i="1"/>
  <c r="R532" i="1"/>
  <c r="O532" i="1"/>
  <c r="J532" i="1"/>
  <c r="K532" i="1" s="1"/>
  <c r="I532" i="1"/>
  <c r="S531" i="1"/>
  <c r="O531" i="1"/>
  <c r="O530" i="1"/>
  <c r="J530" i="1"/>
  <c r="K530" i="1" s="1"/>
  <c r="I530" i="1"/>
  <c r="J529" i="1"/>
  <c r="K529" i="1" s="1"/>
  <c r="I529" i="1"/>
  <c r="J528" i="1"/>
  <c r="K528" i="1" s="1"/>
  <c r="I528" i="1"/>
  <c r="J527" i="1"/>
  <c r="K527" i="1" s="1"/>
  <c r="I527" i="1"/>
  <c r="J526" i="1"/>
  <c r="K526" i="1" s="1"/>
  <c r="I526" i="1"/>
  <c r="J524" i="1"/>
  <c r="K524" i="1" s="1"/>
  <c r="I524" i="1"/>
  <c r="J522" i="1"/>
  <c r="K522" i="1" s="1"/>
  <c r="I522" i="1"/>
  <c r="O521" i="1"/>
  <c r="J521" i="1"/>
  <c r="K521" i="1" s="1"/>
  <c r="I521" i="1"/>
  <c r="O520" i="1"/>
  <c r="J520" i="1"/>
  <c r="K520" i="1" s="1"/>
  <c r="I520" i="1"/>
  <c r="J519" i="1"/>
  <c r="K519" i="1" s="1"/>
  <c r="I519" i="1"/>
  <c r="J513" i="1"/>
  <c r="K513" i="1" s="1"/>
  <c r="I513" i="1"/>
  <c r="J512" i="1"/>
  <c r="K512" i="1" s="1"/>
  <c r="I512" i="1"/>
  <c r="J511" i="1"/>
  <c r="K511" i="1" s="1"/>
  <c r="I511" i="1"/>
  <c r="J510" i="1"/>
  <c r="K510" i="1" s="1"/>
  <c r="I510" i="1"/>
  <c r="J509" i="1"/>
  <c r="K509" i="1" s="1"/>
  <c r="I509" i="1"/>
  <c r="J506" i="1"/>
  <c r="K506" i="1" s="1"/>
  <c r="I506" i="1"/>
  <c r="O505" i="1"/>
  <c r="J505" i="1"/>
  <c r="K505" i="1" s="1"/>
  <c r="I505" i="1"/>
  <c r="J504" i="1"/>
  <c r="K504" i="1" s="1"/>
  <c r="J503" i="1"/>
  <c r="K503" i="1" s="1"/>
  <c r="I503" i="1"/>
  <c r="J502" i="1"/>
  <c r="K502" i="1" s="1"/>
  <c r="I502" i="1"/>
  <c r="J500" i="1"/>
  <c r="K500" i="1" s="1"/>
  <c r="I500" i="1"/>
  <c r="J499" i="1"/>
  <c r="K499" i="1" s="1"/>
  <c r="I499" i="1"/>
  <c r="J498" i="1"/>
  <c r="K498" i="1" s="1"/>
  <c r="I498" i="1"/>
  <c r="J497" i="1"/>
  <c r="K497" i="1" s="1"/>
  <c r="I497" i="1"/>
  <c r="J496" i="1"/>
  <c r="K496" i="1" s="1"/>
  <c r="I496" i="1"/>
  <c r="J495" i="1"/>
  <c r="K495" i="1" s="1"/>
  <c r="I495" i="1"/>
  <c r="J494" i="1"/>
  <c r="K494" i="1" s="1"/>
  <c r="I494" i="1"/>
  <c r="J493" i="1"/>
  <c r="K493" i="1" s="1"/>
  <c r="I493" i="1"/>
  <c r="J492" i="1"/>
  <c r="K492" i="1" s="1"/>
  <c r="I492" i="1"/>
  <c r="J491" i="1"/>
  <c r="K491" i="1" s="1"/>
  <c r="I491" i="1"/>
  <c r="J490" i="1"/>
  <c r="K490" i="1" s="1"/>
  <c r="I490" i="1"/>
  <c r="J489" i="1"/>
  <c r="K489" i="1" s="1"/>
  <c r="I489" i="1"/>
  <c r="J488" i="1"/>
  <c r="K488" i="1" s="1"/>
  <c r="I488" i="1"/>
  <c r="O428" i="1"/>
  <c r="J487" i="1"/>
  <c r="K487" i="1" s="1"/>
  <c r="I487" i="1"/>
  <c r="O427" i="1"/>
  <c r="J486" i="1"/>
  <c r="K486" i="1" s="1"/>
  <c r="I486" i="1"/>
  <c r="J485" i="1"/>
  <c r="K485" i="1" s="1"/>
  <c r="I485" i="1"/>
  <c r="O484" i="1"/>
  <c r="J484" i="1"/>
  <c r="K484" i="1" s="1"/>
  <c r="I484" i="1"/>
  <c r="O483" i="1"/>
  <c r="J483" i="1"/>
  <c r="K483" i="1" s="1"/>
  <c r="I483" i="1"/>
  <c r="J415" i="1"/>
  <c r="K415" i="1" s="1"/>
  <c r="I415" i="1"/>
  <c r="J480" i="1"/>
  <c r="K480" i="1" s="1"/>
  <c r="I480" i="1"/>
  <c r="J479" i="1"/>
  <c r="K479" i="1" s="1"/>
  <c r="I479" i="1"/>
  <c r="O478" i="1"/>
  <c r="J478" i="1"/>
  <c r="K478" i="1" s="1"/>
  <c r="I478" i="1"/>
  <c r="J477" i="1"/>
  <c r="K477" i="1" s="1"/>
  <c r="I477" i="1"/>
  <c r="J476" i="1"/>
  <c r="K476" i="1" s="1"/>
  <c r="I476" i="1"/>
  <c r="J475" i="1"/>
  <c r="K475" i="1" s="1"/>
  <c r="I475" i="1"/>
  <c r="J474" i="1"/>
  <c r="K474" i="1" s="1"/>
  <c r="I474" i="1"/>
  <c r="J472" i="1"/>
  <c r="K472" i="1" s="1"/>
  <c r="I472" i="1"/>
  <c r="J471" i="1"/>
  <c r="K471" i="1" s="1"/>
  <c r="I471" i="1"/>
  <c r="J469" i="1"/>
  <c r="K469" i="1" s="1"/>
  <c r="I469" i="1"/>
  <c r="J468" i="1"/>
  <c r="K468" i="1" s="1"/>
  <c r="I468" i="1"/>
  <c r="J467" i="1"/>
  <c r="K467" i="1" s="1"/>
  <c r="I467" i="1"/>
  <c r="J466" i="1"/>
  <c r="K466" i="1" s="1"/>
  <c r="I466" i="1"/>
  <c r="J465" i="1"/>
  <c r="K465" i="1" s="1"/>
  <c r="O464" i="1"/>
  <c r="J464" i="1"/>
  <c r="K464" i="1" s="1"/>
  <c r="I464" i="1"/>
  <c r="J463" i="1"/>
  <c r="K463" i="1" s="1"/>
  <c r="I463" i="1"/>
  <c r="O462" i="1"/>
  <c r="J462" i="1"/>
  <c r="K462" i="1" s="1"/>
  <c r="I462" i="1"/>
  <c r="J461" i="1"/>
  <c r="K461" i="1" s="1"/>
  <c r="I461" i="1"/>
  <c r="O460" i="1"/>
  <c r="J460" i="1"/>
  <c r="K460" i="1" s="1"/>
  <c r="I460" i="1"/>
  <c r="O459" i="1"/>
  <c r="J459" i="1"/>
  <c r="K459" i="1" s="1"/>
  <c r="I459" i="1"/>
  <c r="K457" i="1"/>
  <c r="J457" i="1"/>
  <c r="O456" i="1"/>
  <c r="J455" i="1"/>
  <c r="K455" i="1" s="1"/>
  <c r="I455" i="1"/>
  <c r="J454" i="1"/>
  <c r="K454" i="1" s="1"/>
  <c r="I454" i="1"/>
  <c r="J453" i="1"/>
  <c r="K453" i="1" s="1"/>
  <c r="I453" i="1"/>
  <c r="J452" i="1"/>
  <c r="K452" i="1" s="1"/>
  <c r="I452" i="1"/>
  <c r="J451" i="1"/>
  <c r="K451" i="1" s="1"/>
  <c r="I451" i="1"/>
  <c r="J450" i="1"/>
  <c r="K450" i="1" s="1"/>
  <c r="I450" i="1"/>
  <c r="O449" i="1"/>
  <c r="J449" i="1"/>
  <c r="K449" i="1" s="1"/>
  <c r="I449" i="1"/>
  <c r="J447" i="1"/>
  <c r="K447" i="1" s="1"/>
  <c r="I447" i="1"/>
  <c r="I457" i="1" s="1"/>
  <c r="J446" i="1"/>
  <c r="K446" i="1" s="1"/>
  <c r="I446" i="1"/>
  <c r="K442" i="1"/>
  <c r="J436" i="1"/>
  <c r="K436" i="1" s="1"/>
  <c r="I436" i="1"/>
  <c r="K435" i="1"/>
  <c r="J434" i="1"/>
  <c r="K434" i="1" s="1"/>
  <c r="I434" i="1"/>
  <c r="J432" i="1"/>
  <c r="K432" i="1" s="1"/>
  <c r="I432" i="1"/>
  <c r="J431" i="1"/>
  <c r="K431" i="1" s="1"/>
  <c r="I431" i="1"/>
  <c r="J429" i="1"/>
  <c r="K429" i="1" s="1"/>
  <c r="I429" i="1"/>
  <c r="J428" i="1"/>
  <c r="K428" i="1" s="1"/>
  <c r="I428" i="1"/>
  <c r="J427" i="1"/>
  <c r="K427" i="1" s="1"/>
  <c r="I427" i="1"/>
  <c r="O426" i="1"/>
  <c r="J426" i="1"/>
  <c r="K426" i="1" s="1"/>
  <c r="I426" i="1"/>
  <c r="O425" i="1"/>
  <c r="J425" i="1"/>
  <c r="K425" i="1" s="1"/>
  <c r="I425" i="1"/>
  <c r="O424" i="1"/>
  <c r="J424" i="1"/>
  <c r="K424" i="1" s="1"/>
  <c r="I424" i="1"/>
  <c r="O423" i="1"/>
  <c r="J423" i="1"/>
  <c r="K423" i="1" s="1"/>
  <c r="I423" i="1"/>
  <c r="O422" i="1"/>
  <c r="J422" i="1"/>
  <c r="K422" i="1" s="1"/>
  <c r="I422" i="1"/>
  <c r="O421" i="1"/>
  <c r="J421" i="1"/>
  <c r="K421" i="1" s="1"/>
  <c r="I421" i="1"/>
  <c r="J420" i="1"/>
  <c r="K420" i="1" s="1"/>
  <c r="I420" i="1"/>
  <c r="O419" i="1"/>
  <c r="J419" i="1"/>
  <c r="K419" i="1" s="1"/>
  <c r="I419" i="1"/>
  <c r="O418" i="1"/>
  <c r="J418" i="1"/>
  <c r="K418" i="1" s="1"/>
  <c r="I418" i="1"/>
  <c r="O416" i="1"/>
  <c r="J414" i="1"/>
  <c r="K414" i="1" s="1"/>
  <c r="I414" i="1"/>
  <c r="J413" i="1"/>
  <c r="K413" i="1" s="1"/>
  <c r="I413" i="1"/>
  <c r="J412" i="1"/>
  <c r="K412" i="1" s="1"/>
  <c r="I412" i="1"/>
  <c r="J411" i="1"/>
  <c r="K411" i="1" s="1"/>
  <c r="I411" i="1"/>
  <c r="J410" i="1"/>
  <c r="K410" i="1" s="1"/>
  <c r="I410" i="1"/>
  <c r="J409" i="1"/>
  <c r="K409" i="1" s="1"/>
  <c r="I409" i="1"/>
  <c r="J408" i="1"/>
  <c r="K408" i="1" s="1"/>
  <c r="I408" i="1"/>
  <c r="J406" i="1"/>
  <c r="K406" i="1" s="1"/>
  <c r="I406" i="1"/>
  <c r="J405" i="1"/>
  <c r="K405" i="1" s="1"/>
  <c r="I405" i="1"/>
  <c r="J404" i="1"/>
  <c r="K404" i="1" s="1"/>
  <c r="I404" i="1"/>
  <c r="J403" i="1"/>
  <c r="K403" i="1" s="1"/>
  <c r="I403" i="1"/>
  <c r="J402" i="1"/>
  <c r="K402" i="1" s="1"/>
  <c r="I402" i="1"/>
  <c r="O401" i="1"/>
  <c r="J400" i="1"/>
  <c r="K400" i="1" s="1"/>
  <c r="I400" i="1"/>
  <c r="J399" i="1"/>
  <c r="K399" i="1" s="1"/>
  <c r="I399" i="1"/>
  <c r="J398" i="1"/>
  <c r="K398" i="1" s="1"/>
  <c r="I398" i="1"/>
  <c r="J397" i="1"/>
  <c r="K397" i="1" s="1"/>
  <c r="I397" i="1"/>
  <c r="J395" i="1"/>
  <c r="K395" i="1" s="1"/>
  <c r="I395" i="1"/>
  <c r="J394" i="1"/>
  <c r="K394" i="1" s="1"/>
  <c r="I394" i="1"/>
  <c r="O393" i="1"/>
  <c r="J393" i="1"/>
  <c r="K393" i="1" s="1"/>
  <c r="I393" i="1"/>
  <c r="O390" i="1"/>
  <c r="J390" i="1"/>
  <c r="K390" i="1" s="1"/>
  <c r="I390" i="1"/>
  <c r="O389" i="1"/>
  <c r="J389" i="1"/>
  <c r="K389" i="1" s="1"/>
  <c r="I389" i="1"/>
  <c r="J388" i="1"/>
  <c r="K388" i="1" s="1"/>
  <c r="I388" i="1"/>
  <c r="R387" i="1"/>
  <c r="O387" i="1"/>
  <c r="K387" i="1"/>
  <c r="J387" i="1"/>
  <c r="I387" i="1"/>
  <c r="J385" i="1"/>
  <c r="K385" i="1" s="1"/>
  <c r="I385" i="1"/>
  <c r="J380" i="1"/>
  <c r="K380" i="1" s="1"/>
  <c r="J379" i="1"/>
  <c r="K379" i="1" s="1"/>
  <c r="I379" i="1"/>
  <c r="K377" i="1"/>
  <c r="J377" i="1"/>
  <c r="I377" i="1"/>
  <c r="J376" i="1"/>
  <c r="K376" i="1" s="1"/>
  <c r="I376" i="1"/>
  <c r="J371" i="1"/>
  <c r="K371" i="1" s="1"/>
  <c r="I371" i="1"/>
  <c r="K369" i="1"/>
  <c r="J369" i="1"/>
  <c r="I369" i="1"/>
  <c r="J367" i="1"/>
  <c r="K367" i="1" s="1"/>
  <c r="I367" i="1"/>
  <c r="J366" i="1"/>
  <c r="K366" i="1" s="1"/>
  <c r="I366" i="1"/>
  <c r="J364" i="1"/>
  <c r="K364" i="1" s="1"/>
  <c r="I364" i="1"/>
  <c r="J363" i="1"/>
  <c r="K363" i="1" s="1"/>
  <c r="I363" i="1"/>
  <c r="J360" i="1"/>
  <c r="I360" i="1"/>
  <c r="J359" i="1"/>
  <c r="K359" i="1" s="1"/>
  <c r="I359" i="1"/>
  <c r="K357" i="1"/>
  <c r="J357" i="1"/>
  <c r="I357" i="1"/>
  <c r="J356" i="1"/>
  <c r="K356" i="1" s="1"/>
  <c r="I356" i="1"/>
  <c r="O355" i="1"/>
  <c r="J355" i="1"/>
  <c r="K355" i="1" s="1"/>
  <c r="I355" i="1"/>
  <c r="J353" i="1"/>
  <c r="K353" i="1" s="1"/>
  <c r="I353" i="1"/>
  <c r="J352" i="1"/>
  <c r="K352" i="1" s="1"/>
  <c r="I352" i="1"/>
  <c r="J350" i="1"/>
  <c r="K350" i="1" s="1"/>
  <c r="I350" i="1"/>
  <c r="O349" i="1"/>
  <c r="J349" i="1"/>
  <c r="K349" i="1" s="1"/>
  <c r="I349" i="1"/>
  <c r="J348" i="1"/>
  <c r="K348" i="1" s="1"/>
  <c r="I348" i="1"/>
  <c r="J347" i="1"/>
  <c r="K347" i="1" s="1"/>
  <c r="I347" i="1"/>
  <c r="J345" i="1"/>
  <c r="K345" i="1" s="1"/>
  <c r="I345" i="1"/>
  <c r="J344" i="1"/>
  <c r="K344" i="1" s="1"/>
  <c r="I344" i="1"/>
  <c r="J343" i="1"/>
  <c r="K343" i="1" s="1"/>
  <c r="I343" i="1"/>
  <c r="J342" i="1"/>
  <c r="K342" i="1" s="1"/>
  <c r="I342" i="1"/>
  <c r="J341" i="1"/>
  <c r="K341" i="1" s="1"/>
  <c r="I341" i="1"/>
  <c r="J339" i="1"/>
  <c r="K339" i="1" s="1"/>
  <c r="I339" i="1"/>
  <c r="J336" i="1"/>
  <c r="K336" i="1" s="1"/>
  <c r="J335" i="1"/>
  <c r="K335" i="1" s="1"/>
  <c r="I335" i="1"/>
  <c r="K334" i="1"/>
  <c r="K327" i="1"/>
  <c r="O326" i="1"/>
  <c r="K322" i="1"/>
  <c r="K321" i="1"/>
  <c r="K320" i="1"/>
  <c r="J318" i="1"/>
  <c r="K318" i="1" s="1"/>
  <c r="I318" i="1"/>
  <c r="J317" i="1"/>
  <c r="K317" i="1" s="1"/>
  <c r="I317" i="1"/>
  <c r="J315" i="1"/>
  <c r="K315" i="1" s="1"/>
  <c r="I315" i="1"/>
  <c r="J314" i="1"/>
  <c r="K314" i="1" s="1"/>
  <c r="I314" i="1"/>
  <c r="J312" i="1"/>
  <c r="K312" i="1" s="1"/>
  <c r="I312" i="1"/>
  <c r="J311" i="1"/>
  <c r="K311" i="1" s="1"/>
  <c r="I311" i="1"/>
  <c r="O310" i="1"/>
  <c r="J310" i="1"/>
  <c r="K310" i="1" s="1"/>
  <c r="I310" i="1"/>
  <c r="K307" i="1"/>
  <c r="J307" i="1"/>
  <c r="I307" i="1"/>
  <c r="J305" i="1"/>
  <c r="K305" i="1" s="1"/>
  <c r="I305" i="1"/>
  <c r="J304" i="1"/>
  <c r="K304" i="1" s="1"/>
  <c r="I304" i="1"/>
  <c r="J303" i="1"/>
  <c r="K303" i="1" s="1"/>
  <c r="I303" i="1"/>
  <c r="J302" i="1"/>
  <c r="K302" i="1" s="1"/>
  <c r="I302" i="1"/>
  <c r="I301" i="1"/>
  <c r="J300" i="1"/>
  <c r="K300" i="1" s="1"/>
  <c r="I300" i="1"/>
  <c r="J299" i="1"/>
  <c r="K299" i="1" s="1"/>
  <c r="I299" i="1"/>
  <c r="J298" i="1"/>
  <c r="K298" i="1" s="1"/>
  <c r="I298" i="1"/>
  <c r="J297" i="1"/>
  <c r="K297" i="1" s="1"/>
  <c r="I297" i="1"/>
  <c r="J296" i="1"/>
  <c r="K296" i="1" s="1"/>
  <c r="I296" i="1"/>
  <c r="O295" i="1"/>
  <c r="J295" i="1"/>
  <c r="K295" i="1" s="1"/>
  <c r="I295" i="1"/>
  <c r="J291" i="1"/>
  <c r="K291" i="1" s="1"/>
  <c r="I291" i="1"/>
  <c r="J290" i="1"/>
  <c r="K290" i="1" s="1"/>
  <c r="I290" i="1"/>
  <c r="J289" i="1"/>
  <c r="I289" i="1"/>
  <c r="J288" i="1"/>
  <c r="K288" i="1" s="1"/>
  <c r="I288" i="1"/>
  <c r="J287" i="1"/>
  <c r="K287" i="1" s="1"/>
  <c r="I287" i="1"/>
  <c r="J286" i="1"/>
  <c r="K286" i="1" s="1"/>
  <c r="I286" i="1"/>
  <c r="J285" i="1"/>
  <c r="K285" i="1" s="1"/>
  <c r="I285" i="1"/>
  <c r="J284" i="1"/>
  <c r="K284" i="1" s="1"/>
  <c r="I284" i="1"/>
  <c r="O283" i="1"/>
  <c r="J283" i="1"/>
  <c r="K283" i="1" s="1"/>
  <c r="I283" i="1"/>
  <c r="J282" i="1"/>
  <c r="I282" i="1"/>
  <c r="J276" i="1"/>
  <c r="K276" i="1" s="1"/>
  <c r="I276" i="1"/>
  <c r="J275" i="1"/>
  <c r="K275" i="1" s="1"/>
  <c r="I275" i="1"/>
  <c r="J274" i="1"/>
  <c r="K274" i="1" s="1"/>
  <c r="I274" i="1"/>
  <c r="J273" i="1"/>
  <c r="K273" i="1" s="1"/>
  <c r="I273" i="1"/>
  <c r="J272" i="1"/>
  <c r="K272" i="1" s="1"/>
  <c r="I272" i="1"/>
  <c r="J270" i="1"/>
  <c r="K270" i="1" s="1"/>
  <c r="I270" i="1"/>
  <c r="J269" i="1"/>
  <c r="K269" i="1" s="1"/>
  <c r="I269" i="1"/>
  <c r="J268" i="1"/>
  <c r="K268" i="1" s="1"/>
  <c r="I268" i="1"/>
  <c r="J266" i="1"/>
  <c r="K266" i="1" s="1"/>
  <c r="I266" i="1"/>
  <c r="J265" i="1"/>
  <c r="K265" i="1" s="1"/>
  <c r="I265" i="1"/>
  <c r="J264" i="1"/>
  <c r="K264" i="1" s="1"/>
  <c r="I264" i="1"/>
  <c r="J261" i="1"/>
  <c r="K261" i="1" s="1"/>
  <c r="I261" i="1"/>
  <c r="J260" i="1"/>
  <c r="K260" i="1" s="1"/>
  <c r="I260" i="1"/>
  <c r="J259" i="1"/>
  <c r="K259" i="1" s="1"/>
  <c r="I259" i="1"/>
  <c r="J258" i="1"/>
  <c r="K258" i="1" s="1"/>
  <c r="I258" i="1"/>
  <c r="O257" i="1"/>
  <c r="J256" i="1"/>
  <c r="K256" i="1" s="1"/>
  <c r="I256" i="1"/>
  <c r="J255" i="1"/>
  <c r="K255" i="1" s="1"/>
  <c r="I255" i="1"/>
  <c r="J254" i="1"/>
  <c r="K254" i="1" s="1"/>
  <c r="I254" i="1"/>
  <c r="J251" i="1"/>
  <c r="K251" i="1" s="1"/>
  <c r="I251" i="1"/>
  <c r="J250" i="1"/>
  <c r="K250" i="1" s="1"/>
  <c r="I250" i="1"/>
  <c r="J249" i="1"/>
  <c r="K249" i="1" s="1"/>
  <c r="I249" i="1"/>
  <c r="J240" i="1"/>
  <c r="K240" i="1" s="1"/>
  <c r="I240" i="1"/>
  <c r="J239" i="1"/>
  <c r="K239" i="1" s="1"/>
  <c r="I239" i="1"/>
  <c r="J238" i="1"/>
  <c r="K238" i="1" s="1"/>
  <c r="I238" i="1"/>
  <c r="J237" i="1"/>
  <c r="K237" i="1" s="1"/>
  <c r="I237" i="1"/>
  <c r="J236" i="1"/>
  <c r="K236" i="1" s="1"/>
  <c r="I236" i="1"/>
  <c r="K235" i="1"/>
  <c r="J234" i="1"/>
  <c r="K234" i="1" s="1"/>
  <c r="I234" i="1"/>
  <c r="O233" i="1"/>
  <c r="J233" i="1"/>
  <c r="K233" i="1" s="1"/>
  <c r="I233" i="1"/>
  <c r="O232" i="1"/>
  <c r="K232" i="1"/>
  <c r="J228" i="1"/>
  <c r="K228" i="1" s="1"/>
  <c r="I228" i="1"/>
  <c r="J227" i="1"/>
  <c r="K227" i="1" s="1"/>
  <c r="I227" i="1"/>
  <c r="J226" i="1"/>
  <c r="K226" i="1" s="1"/>
  <c r="I226" i="1"/>
  <c r="O224" i="1"/>
  <c r="J223" i="1"/>
  <c r="K223" i="1" s="1"/>
  <c r="I223" i="1"/>
  <c r="O222" i="1"/>
  <c r="J222" i="1"/>
  <c r="K222" i="1" s="1"/>
  <c r="I222" i="1"/>
  <c r="J221" i="1"/>
  <c r="K221" i="1" s="1"/>
  <c r="I221" i="1"/>
  <c r="J218" i="1"/>
  <c r="K218" i="1" s="1"/>
  <c r="I218" i="1"/>
  <c r="J217" i="1"/>
  <c r="K217" i="1" s="1"/>
  <c r="I217" i="1"/>
  <c r="J216" i="1"/>
  <c r="K216" i="1" s="1"/>
  <c r="I216" i="1"/>
  <c r="O214" i="1"/>
  <c r="J213" i="1"/>
  <c r="K213" i="1" s="1"/>
  <c r="I213" i="1"/>
  <c r="J212" i="1"/>
  <c r="K212" i="1" s="1"/>
  <c r="I212" i="1"/>
  <c r="J211" i="1"/>
  <c r="K211" i="1" s="1"/>
  <c r="I211" i="1"/>
  <c r="J210" i="1"/>
  <c r="K210" i="1" s="1"/>
  <c r="I210" i="1"/>
  <c r="J209" i="1"/>
  <c r="J206" i="1"/>
  <c r="K206" i="1" s="1"/>
  <c r="I206" i="1"/>
  <c r="J205" i="1"/>
  <c r="K205" i="1" s="1"/>
  <c r="I205" i="1"/>
  <c r="K204" i="1"/>
  <c r="I204" i="1"/>
  <c r="O200" i="1"/>
  <c r="J200" i="1"/>
  <c r="K200" i="1" s="1"/>
  <c r="J190" i="1"/>
  <c r="K190" i="1" s="1"/>
  <c r="I190" i="1"/>
  <c r="J189" i="1"/>
  <c r="K189" i="1" s="1"/>
  <c r="I189" i="1"/>
  <c r="K188" i="1"/>
  <c r="J186" i="1"/>
  <c r="K186" i="1" s="1"/>
  <c r="I186" i="1"/>
  <c r="J185" i="1"/>
  <c r="K185" i="1" s="1"/>
  <c r="I185" i="1"/>
  <c r="O183" i="1"/>
  <c r="K183" i="1"/>
  <c r="J179" i="1"/>
  <c r="K179" i="1" s="1"/>
  <c r="I179" i="1"/>
  <c r="J178" i="1"/>
  <c r="K178" i="1" s="1"/>
  <c r="J176" i="1"/>
  <c r="K176" i="1" s="1"/>
  <c r="I176" i="1"/>
  <c r="J175" i="1"/>
  <c r="K175" i="1" s="1"/>
  <c r="I175" i="1"/>
  <c r="J174" i="1"/>
  <c r="I174" i="1"/>
  <c r="O169" i="1"/>
  <c r="K169" i="1"/>
  <c r="J168" i="1"/>
  <c r="K168" i="1" s="1"/>
  <c r="I168" i="1"/>
  <c r="J167" i="1"/>
  <c r="K167" i="1" s="1"/>
  <c r="I167" i="1"/>
  <c r="J166" i="1"/>
  <c r="K166" i="1" s="1"/>
  <c r="I166" i="1"/>
  <c r="O165" i="1"/>
  <c r="J165" i="1"/>
  <c r="K165" i="1" s="1"/>
  <c r="I165" i="1"/>
  <c r="O164" i="1"/>
  <c r="J164" i="1"/>
  <c r="K164" i="1" s="1"/>
  <c r="I164" i="1"/>
  <c r="K163" i="1"/>
  <c r="I163" i="1"/>
  <c r="I162" i="1"/>
  <c r="O161" i="1"/>
  <c r="J161" i="1"/>
  <c r="K161" i="1" s="1"/>
  <c r="I161" i="1"/>
  <c r="O159" i="1"/>
  <c r="O157" i="1"/>
  <c r="K157" i="1"/>
  <c r="O156" i="1"/>
  <c r="K156" i="1"/>
  <c r="K155" i="1"/>
  <c r="K154" i="1"/>
  <c r="K153" i="1"/>
  <c r="O150" i="1"/>
  <c r="K150" i="1"/>
  <c r="I150" i="1"/>
  <c r="O148" i="1"/>
  <c r="J148" i="1"/>
  <c r="K148" i="1" s="1"/>
  <c r="I148" i="1"/>
  <c r="O147" i="1"/>
  <c r="J147" i="1"/>
  <c r="K147" i="1" s="1"/>
  <c r="I147" i="1"/>
  <c r="J140" i="1"/>
  <c r="K140" i="1" s="1"/>
  <c r="I140" i="1"/>
  <c r="O135" i="1"/>
  <c r="O134" i="1"/>
  <c r="O133" i="1"/>
  <c r="K132" i="1"/>
  <c r="K131" i="1"/>
  <c r="O129" i="1"/>
  <c r="J129" i="1"/>
  <c r="K129" i="1" s="1"/>
  <c r="I129" i="1"/>
  <c r="J128" i="1"/>
  <c r="K128" i="1" s="1"/>
  <c r="I128" i="1"/>
  <c r="Q127" i="1"/>
  <c r="O127" i="1"/>
  <c r="J127" i="1"/>
  <c r="K127" i="1" s="1"/>
  <c r="I127" i="1"/>
  <c r="J126" i="1"/>
  <c r="K126" i="1" s="1"/>
  <c r="I126" i="1"/>
  <c r="O125" i="1"/>
  <c r="J121" i="1"/>
  <c r="K121" i="1" s="1"/>
  <c r="K119" i="1"/>
  <c r="I119" i="1"/>
  <c r="K118" i="1"/>
  <c r="I118" i="1"/>
  <c r="K117" i="1"/>
  <c r="K115" i="1"/>
  <c r="J114" i="1"/>
  <c r="K114" i="1" s="1"/>
  <c r="I114" i="1"/>
  <c r="K113" i="1"/>
  <c r="I113" i="1"/>
  <c r="J110" i="1"/>
  <c r="K110" i="1" s="1"/>
  <c r="I110" i="1"/>
  <c r="J109" i="1"/>
  <c r="K109" i="1" s="1"/>
  <c r="I109" i="1"/>
  <c r="J108" i="1"/>
  <c r="K108" i="1" s="1"/>
  <c r="I108" i="1"/>
  <c r="O106" i="1"/>
  <c r="O105" i="1"/>
  <c r="J105" i="1"/>
  <c r="K105" i="1" s="1"/>
  <c r="I105" i="1"/>
  <c r="O103" i="1"/>
  <c r="O102" i="1"/>
  <c r="J102" i="1"/>
  <c r="K102" i="1" s="1"/>
  <c r="I102" i="1"/>
  <c r="J101" i="1"/>
  <c r="K101" i="1" s="1"/>
  <c r="I101" i="1"/>
  <c r="J100" i="1"/>
  <c r="K100" i="1" s="1"/>
  <c r="I100" i="1"/>
  <c r="J99" i="1"/>
  <c r="K99" i="1" s="1"/>
  <c r="I99" i="1"/>
  <c r="J98" i="1"/>
  <c r="K98" i="1" s="1"/>
  <c r="I98" i="1"/>
  <c r="J97" i="1"/>
  <c r="K97" i="1" s="1"/>
  <c r="I97" i="1"/>
  <c r="K95" i="1"/>
  <c r="J94" i="1"/>
  <c r="K94" i="1" s="1"/>
  <c r="I94" i="1"/>
  <c r="J93" i="1"/>
  <c r="K93" i="1" s="1"/>
  <c r="I93" i="1"/>
  <c r="J92" i="1"/>
  <c r="K92" i="1" s="1"/>
  <c r="I92" i="1"/>
  <c r="Q82" i="1"/>
  <c r="O82" i="1"/>
  <c r="K82" i="1"/>
  <c r="J81" i="1"/>
  <c r="K81" i="1" s="1"/>
  <c r="J78" i="1"/>
  <c r="K78" i="1" s="1"/>
  <c r="I78" i="1"/>
  <c r="O77" i="1"/>
  <c r="J77" i="1"/>
  <c r="K77" i="1" s="1"/>
  <c r="I77" i="1"/>
  <c r="O76" i="1"/>
  <c r="J76" i="1"/>
  <c r="K76" i="1" s="1"/>
  <c r="O75" i="1"/>
  <c r="J75" i="1"/>
  <c r="K75" i="1" s="1"/>
  <c r="O65" i="1"/>
  <c r="O64" i="1"/>
  <c r="O63" i="1"/>
  <c r="O60" i="1"/>
  <c r="O59" i="1"/>
  <c r="O56" i="1"/>
  <c r="O55" i="1"/>
  <c r="O54" i="1"/>
  <c r="O52" i="1"/>
  <c r="O51" i="1"/>
  <c r="O46" i="1"/>
  <c r="H29" i="1"/>
  <c r="K548" i="1" l="1"/>
  <c r="L37" i="1" s="1"/>
  <c r="J328" i="1"/>
  <c r="M33" i="1" s="1"/>
  <c r="K277" i="1"/>
  <c r="L32" i="1" s="1"/>
  <c r="J277" i="1"/>
  <c r="M32" i="1" s="1"/>
  <c r="K191" i="1"/>
  <c r="L31" i="1" s="1"/>
  <c r="J514" i="1"/>
  <c r="M36" i="1" s="1"/>
  <c r="J437" i="1"/>
  <c r="M35" i="1" s="1"/>
  <c r="J548" i="1"/>
  <c r="M37" i="1" s="1"/>
  <c r="I548" i="1"/>
  <c r="H37" i="1" s="1"/>
  <c r="I514" i="1"/>
  <c r="H36" i="1" s="1"/>
  <c r="I437" i="1"/>
  <c r="H35" i="1" s="1"/>
  <c r="I381" i="1"/>
  <c r="H34" i="1" s="1"/>
  <c r="I328" i="1"/>
  <c r="H33" i="1" s="1"/>
  <c r="I277" i="1"/>
  <c r="H32" i="1" s="1"/>
  <c r="I191" i="1"/>
  <c r="H31" i="1" s="1"/>
  <c r="J141" i="1"/>
  <c r="M30" i="1" s="1"/>
  <c r="I141" i="1"/>
  <c r="H30" i="1" s="1"/>
  <c r="K381" i="1"/>
  <c r="L34" i="1" s="1"/>
  <c r="K141" i="1"/>
  <c r="L30" i="1" s="1"/>
  <c r="K437" i="1"/>
  <c r="L35" i="1" s="1"/>
  <c r="K514" i="1"/>
  <c r="L36" i="1" s="1"/>
  <c r="J191" i="1"/>
  <c r="M31" i="1" s="1"/>
  <c r="J381" i="1"/>
  <c r="M34" i="1" s="1"/>
  <c r="K282" i="1"/>
  <c r="K328" i="1" s="1"/>
  <c r="L33" i="1" s="1"/>
  <c r="L38" i="1" l="1"/>
  <c r="H38" i="1"/>
  <c r="M7" i="1" s="1"/>
  <c r="M3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Laptop</author>
    <author>Leigha Dickens</author>
  </authors>
  <commentList>
    <comment ref="C47" authorId="0" shapeId="0" xr:uid="{00000000-0006-0000-0000-000001000000}">
      <text>
        <r>
          <rPr>
            <sz val="11"/>
            <color rgb="FF000000"/>
            <rFont val="Calibri"/>
            <family val="2"/>
          </rPr>
          <t xml:space="preserve">All homes must meet this minimum requirement as approved by the RESNET Certified Rater and their provider agreement.  Sample testing may be allowed (using RESNET sampling protocol).
</t>
        </r>
      </text>
    </comment>
    <comment ref="C48" authorId="0" shapeId="0" xr:uid="{00000000-0006-0000-0000-000002000000}">
      <text>
        <r>
          <rPr>
            <sz val="11"/>
            <color rgb="FF000000"/>
            <rFont val="Calibri"/>
            <family val="2"/>
          </rPr>
          <t xml:space="preserve">Meeting guidelines set forth by ENERGY STAR is acceptable
</t>
        </r>
      </text>
    </comment>
    <comment ref="C49" authorId="0" shapeId="0" xr:uid="{00000000-0006-0000-0000-000003000000}">
      <text>
        <r>
          <rPr>
            <sz val="11"/>
            <color rgb="FF000000"/>
            <rFont val="Calibri"/>
            <family val="2"/>
          </rPr>
          <t xml:space="preserve">-- Design calculations shall reflect the actual home built including outdoor design temperatures,  orientation, number of bedrooms, conditioned floor area, window area, fenestration and insulation values, ventilation, presence of MERV6 or better filter, and indoor temperature set points = 70°F for heating; 75°F for cooling.  Infiltration value should be set to Average or tighter OR actual conditions
-- Other acceptable methods of calculation include ASHRAE 2009 Book of Fundamentals
-- Multi-speed or multi-stage equipment use Manual S Guidelines reference in Energy Star HVAC Design Report
-- The equipment oversizing limit should be based on the largest capacity of the unit.
-Responsibility Party includes HVAC contractor, Engineer or HERS Rater.  Contact the program administrator for exceptions.
</t>
        </r>
      </text>
    </comment>
    <comment ref="C51" authorId="1" shapeId="0" xr:uid="{00000000-0006-0000-0000-000004000000}">
      <text>
        <r>
          <rPr>
            <b/>
            <sz val="9"/>
            <color indexed="81"/>
            <rFont val="Tahoma"/>
            <family val="2"/>
          </rPr>
          <t>Systems should be tested where possible.  Un-tested systems to be at least 20% oversized</t>
        </r>
        <r>
          <rPr>
            <sz val="9"/>
            <color indexed="81"/>
            <rFont val="Tahoma"/>
            <family val="2"/>
          </rPr>
          <t xml:space="preserve">
</t>
        </r>
      </text>
    </comment>
    <comment ref="C60" authorId="0" shapeId="0" xr:uid="{00000000-0006-0000-0000-000005000000}">
      <text>
        <r>
          <rPr>
            <sz val="11"/>
            <color rgb="FF000000"/>
            <rFont val="Calibri"/>
            <family val="2"/>
          </rPr>
          <t xml:space="preserve">A 3 or 4 in. diameter gas-tight vertical vent pipe, clearly labeled, shall be connected to an open T-fitting in the aggregate layer (or connected to geotextile drainage matting according to the manufacturer’s instructions) beneath the polyethylene sheeting, extending up through the conditioned spaces and terminating a minimum of 12 in. above the roof opening. For crawlspaces, install at least 5 ft. of horizontal perforated drain tile on either side of the T-fitting, attached to the vertical radon vent pipe beneath the sheeting and running parallel to the long dimension of the house.
Exemption: Homes on vented crawls can also perform a passive test.  Homes that are fully on stilts are exempt from the testing requirement.
 </t>
        </r>
      </text>
    </comment>
    <comment ref="C63" authorId="0" shapeId="0" xr:uid="{00000000-0006-0000-0000-000006000000}">
      <text>
        <r>
          <rPr>
            <sz val="11"/>
            <color rgb="FF000000"/>
            <rFont val="Calibri"/>
            <family val="2"/>
          </rPr>
          <t>In jurisdictions where erosion control site plans are required, this is automatically met.
The plan should indicate and include, as applicable: areas where topsoil will be removed, where contours of slopes will be cleared or reshaped, the location and types of erosion control measures, the stormwater and sediment management systems, and a vegetative plan for temporary and permanent soil stabilization</t>
        </r>
      </text>
    </comment>
    <comment ref="E74" authorId="2" shapeId="0" xr:uid="{392F6814-7013-4FE3-922B-A5FDE7D0129F}">
      <text>
        <r>
          <rPr>
            <b/>
            <sz val="9"/>
            <color indexed="81"/>
            <rFont val="Tahoma"/>
            <family val="2"/>
          </rPr>
          <t>Leigha Dickens:</t>
        </r>
        <r>
          <rPr>
            <sz val="9"/>
            <color indexed="81"/>
            <rFont val="Tahoma"/>
            <family val="2"/>
          </rPr>
          <t xml:space="preserve">
typically projects &gt;1 acre in size must comply with North Carolina Department of Environmental Quality stormwater regulations, and would be ineligible for points under #1 and #2 (use #3 instead.)  Additionally, some projects &gt;1 acre in size may also be required by local jurisdictions to comply with local stormwater requirements; such projects are also ineligible to claim points under #1 or #2 and should use #3 instead.</t>
        </r>
      </text>
    </comment>
    <comment ref="F81" authorId="0" shapeId="0" xr:uid="{00000000-0006-0000-0000-000008000000}">
      <text>
        <r>
          <rPr>
            <sz val="11"/>
            <color rgb="FF000000"/>
            <rFont val="Calibri"/>
            <family val="2"/>
          </rPr>
          <t>Cannot be taken in conjunction with Site Opportunity #1</t>
        </r>
      </text>
    </comment>
    <comment ref="E85" authorId="2" shapeId="0" xr:uid="{DD080A9C-18FE-40B6-A45B-440C7F12F1FA}">
      <text>
        <r>
          <rPr>
            <b/>
            <sz val="9"/>
            <color indexed="81"/>
            <rFont val="Tahoma"/>
            <family val="2"/>
          </rPr>
          <t>Leigha Dickens:</t>
        </r>
        <r>
          <rPr>
            <sz val="9"/>
            <color indexed="81"/>
            <rFont val="Tahoma"/>
            <family val="2"/>
          </rPr>
          <t xml:space="preserve">
Any project required to comply with state or local stormwater design criteria can claim points under #3. Those that are not cannot, and should claim points under #1 or #2 instead.</t>
        </r>
      </text>
    </comment>
    <comment ref="F94" authorId="0" shapeId="0" xr:uid="{00000000-0006-0000-0000-000009000000}">
      <text>
        <r>
          <rPr>
            <sz val="11"/>
            <color rgb="FF000000"/>
            <rFont val="Calibri"/>
            <family val="2"/>
          </rPr>
          <t xml:space="preserve">Identify areas to be preserved and develop a strategy for avoiding mechanical and chemical damage, grade changes, trenching, filling, and compaction. An arborist (sometimes available through the local planning department) can help you decide which trees can be saved and can work with the builder to protect the trees throughout each construction phase. It is important to involve a knowledgeable professional during this planning phase to ensure actual survival of trees but not required. The end result should be a document (written or graphic) that can be physically posted on the job site. The Tree Preservation Plan shall be reviewed with subcontractors and posted on the job site at the beginning of the project. 
</t>
        </r>
      </text>
    </comment>
    <comment ref="F97" authorId="0" shapeId="0" xr:uid="{00000000-0006-0000-0000-00000A000000}">
      <text>
        <r>
          <rPr>
            <sz val="11"/>
            <color rgb="FF000000"/>
            <rFont val="Calibri"/>
            <family val="2"/>
          </rPr>
          <t xml:space="preserve">Can be applied to a lot or an entire development
</t>
        </r>
      </text>
    </comment>
    <comment ref="F105" authorId="0" shapeId="0" xr:uid="{00000000-0006-0000-0000-00000B000000}">
      <text>
        <r>
          <rPr>
            <sz val="11"/>
            <color rgb="FF000000"/>
            <rFont val="Calibri"/>
            <family val="2"/>
          </rPr>
          <t>PRIME FARMLAND:
1. visit https://websoilsurvey.nrcs.usda.gov/app/WebSoilSurvey.aspx
2. Enter address under the "Area of Interest" tab at the top and then “Quick Navigation” on left menu.  Use the zoom tool if needed.
3. Select the "AOI rectangle" from the tools menu at the top of the map and draw a rectangle around the project area
4. Select the “Soil Data Explorer” tab at the top
5  On the left menu, click on “Land Classifications,” then “Farmland Classification.” Select “View Rating” to see a list of all soils types on the site. Under the map is a key explaining the symbols.
 6. Confirm that none of the soils are prime farmland.  Record the data or take a screen shot if needed.
Floodplain:
1. Visit https://msc.fema.gov/portal/home
2. Enter address
3. Select "Dynamic Firmette"
4. Record the date or take a screen shot if needed.</t>
        </r>
      </text>
    </comment>
    <comment ref="F121" authorId="0" shapeId="0" xr:uid="{00000000-0006-0000-0000-00000C000000}">
      <text>
        <r>
          <rPr>
            <sz val="11"/>
            <color rgb="FF000000"/>
            <rFont val="Calibri"/>
            <family val="2"/>
          </rPr>
          <t xml:space="preserve">The designated percentage of the total dwelling units in the building must meet the affordability standard set by the local jurisdiction for households earning 80% or less than the Area Median Income (AMI.)   Must be in project documents that these units will be kept affordable for at least 20 years.
</t>
        </r>
      </text>
    </comment>
    <comment ref="F130" authorId="0" shapeId="0" xr:uid="{00000000-0006-0000-0000-00000D000000}">
      <text>
        <r>
          <rPr>
            <sz val="11"/>
            <color rgb="FF000000"/>
            <rFont val="Calibri"/>
            <family val="2"/>
          </rPr>
          <t xml:space="preserve">The food garden must have solar access 
For multi-family buildings or multi-home developments with shared space, the food garden must comprise at least:
15 square feet per unit for one point, 30 square feet per unit for two points
</t>
        </r>
      </text>
    </comment>
    <comment ref="F150" authorId="0" shapeId="0" xr:uid="{00000000-0006-0000-0000-00000E000000}">
      <text>
        <r>
          <rPr>
            <sz val="11"/>
            <color rgb="FF000000"/>
            <rFont val="Calibri"/>
            <family val="2"/>
          </rPr>
          <t xml:space="preserve">No Mow Grass mixes must be approved on a case by case basis.
</t>
        </r>
      </text>
    </comment>
    <comment ref="F165" authorId="1" shapeId="0" xr:uid="{00000000-0006-0000-0000-00000F000000}">
      <text>
        <r>
          <rPr>
            <sz val="11"/>
            <color indexed="81"/>
            <rFont val="Calibri"/>
            <family val="2"/>
            <scheme val="minor"/>
          </rPr>
          <t xml:space="preserve">site must be designed to handle the water </t>
        </r>
        <r>
          <rPr>
            <sz val="9"/>
            <color indexed="81"/>
            <rFont val="Tahoma"/>
            <family val="2"/>
          </rPr>
          <t xml:space="preserve">
</t>
        </r>
      </text>
    </comment>
    <comment ref="G170" authorId="2" shapeId="0" xr:uid="{66AF4163-F4F1-4A31-8B71-718280E2D1CD}">
      <text>
        <r>
          <rPr>
            <b/>
            <sz val="9"/>
            <color indexed="81"/>
            <rFont val="Tahoma"/>
            <family val="2"/>
          </rPr>
          <t>Leigha Dickens:</t>
        </r>
        <r>
          <rPr>
            <sz val="9"/>
            <color indexed="81"/>
            <rFont val="Tahoma"/>
            <family val="2"/>
          </rPr>
          <t xml:space="preserve">
For all water fixture points: 90% of the units in the dwelling unit must have fixtures that meet these standards for the project to receive these points. </t>
        </r>
      </text>
    </comment>
    <comment ref="F182" authorId="2" shapeId="0" xr:uid="{ED8B72EE-C829-43A3-8C14-AC46BC718EF3}">
      <text>
        <r>
          <rPr>
            <b/>
            <sz val="9"/>
            <color indexed="81"/>
            <rFont val="Tahoma"/>
            <family val="2"/>
          </rPr>
          <t>Leigha Dickens:</t>
        </r>
        <r>
          <rPr>
            <sz val="9"/>
            <color indexed="81"/>
            <rFont val="Tahoma"/>
            <family val="2"/>
          </rPr>
          <t xml:space="preserve">
Half points may be awarded in b if 90% of units use dual flush toilets in some but not all  bathrooms in each unit.</t>
        </r>
      </text>
    </comment>
    <comment ref="D207" authorId="0" shapeId="0" xr:uid="{00000000-0006-0000-0000-000010000000}">
      <text>
        <r>
          <rPr>
            <sz val="11"/>
            <color rgb="FF000000"/>
            <rFont val="Calibri"/>
            <family val="2"/>
          </rPr>
          <t>Note: if a home has only ONE foundation type AND qualifies for points in this section, an equal amount of points are automatically awarded as innovation points</t>
        </r>
      </text>
    </comment>
    <comment ref="F221" authorId="0" shapeId="0" xr:uid="{00000000-0006-0000-0000-000011000000}">
      <text>
        <r>
          <rPr>
            <sz val="11"/>
            <color rgb="FF000000"/>
            <rFont val="Calibri"/>
            <family val="2"/>
          </rPr>
          <t>or R-13 cavity insulation</t>
        </r>
      </text>
    </comment>
    <comment ref="F222" authorId="0" shapeId="0" xr:uid="{00000000-0006-0000-0000-000012000000}">
      <text>
        <r>
          <rPr>
            <sz val="11"/>
            <color rgb="FF000000"/>
            <rFont val="Calibri"/>
            <family val="2"/>
          </rPr>
          <t>or R-15 cavity insulation</t>
        </r>
      </text>
    </comment>
    <comment ref="L229" authorId="2" shapeId="0" xr:uid="{EB1987CC-2CED-4CBA-9507-709FB1C15268}">
      <text>
        <r>
          <rPr>
            <b/>
            <sz val="9"/>
            <color indexed="81"/>
            <rFont val="Tahoma"/>
            <family val="2"/>
          </rPr>
          <t>Leigha Dickens:</t>
        </r>
        <r>
          <rPr>
            <sz val="9"/>
            <color indexed="81"/>
            <rFont val="Tahoma"/>
            <family val="2"/>
          </rPr>
          <t xml:space="preserve">
Note: if a home has only ONE foundation type AND qualifies for points in this section, an equal amount of points are automatically awarded as innovation points.
Note: 90% of the wall area type must have this R-value to get points.</t>
        </r>
      </text>
    </comment>
    <comment ref="F242" authorId="2" shapeId="0" xr:uid="{909E908F-8B52-4858-8A64-966CBCF4ACD7}">
      <text>
        <r>
          <rPr>
            <b/>
            <sz val="9"/>
            <color indexed="81"/>
            <rFont val="Tahoma"/>
            <family val="2"/>
          </rPr>
          <t>Leigha Dickens:</t>
        </r>
        <r>
          <rPr>
            <sz val="9"/>
            <color indexed="81"/>
            <rFont val="Tahoma"/>
            <family val="2"/>
          </rPr>
          <t xml:space="preserve">
A "metal building" is defined as a soldi metal building: i.e, the structure itself does not automatically consist of framed studs in which to install cavity insulation.  Examples would be metal dome buildings or shipping containers.  Such buildings generally rely on continuous insulation such as spray foam or rigid foam board, since they don't automatically have framing cavities in which to install insulation, though cavity spaces can be framed in to create a space for cavity insulation.  
A metal framed building is any building that uses metal studs instead of wood.  Such buildings have a cavity space for insulation between the studs, but the use of metal studs creates significant thermal bridging.  Metal framed buildings  are required by NC energy code and the IECC to use a combination of both cavity and continuous insulation.  </t>
        </r>
      </text>
    </comment>
    <comment ref="F255" authorId="0" shapeId="0" xr:uid="{00000000-0006-0000-0000-000014000000}">
      <text>
        <r>
          <rPr>
            <sz val="11"/>
            <color rgb="FF000000"/>
            <rFont val="Calibri"/>
            <family val="2"/>
          </rPr>
          <t xml:space="preserve">Must be installed in the attic, facing into open space
</t>
        </r>
      </text>
    </comment>
    <comment ref="F260" authorId="2" shapeId="0" xr:uid="{319C0014-6089-498F-87C3-918816B8DE80}">
      <text>
        <r>
          <rPr>
            <b/>
            <sz val="9"/>
            <color indexed="81"/>
            <rFont val="Tahoma"/>
            <family val="2"/>
          </rPr>
          <t>Leigha Dickens:</t>
        </r>
        <r>
          <rPr>
            <sz val="9"/>
            <color indexed="81"/>
            <rFont val="Tahoma"/>
            <family val="2"/>
          </rPr>
          <t xml:space="preserve">
solid metal buildings should comply via the continuous insulation requirement, or demonstrate equivalent total R-value.</t>
        </r>
      </text>
    </comment>
    <comment ref="M262" authorId="0" shapeId="0" xr:uid="{00000000-0006-0000-0000-000015000000}">
      <text>
        <r>
          <rPr>
            <sz val="11"/>
            <color rgb="FF000000"/>
            <rFont val="Calibri"/>
            <family val="2"/>
          </rPr>
          <t>what about an air barrier requirement here in addition/instead of just an R-value requirement, for the point?
	-Leigha Dickens</t>
        </r>
      </text>
    </comment>
    <comment ref="F267" authorId="0" shapeId="0" xr:uid="{00000000-0006-0000-0000-000016000000}">
      <text>
        <r>
          <rPr>
            <sz val="11"/>
            <color rgb="FF000000"/>
            <rFont val="Calibri"/>
            <family val="2"/>
          </rPr>
          <t xml:space="preserve">Passive Solar buildings with high SHGC windows on the south side are eligible for these points if they meet the criteria on all other sides of the home and have proper shading/overhangs on all south facing windows
</t>
        </r>
      </text>
    </comment>
    <comment ref="F271" authorId="0" shapeId="0" xr:uid="{00000000-0006-0000-0000-000017000000}">
      <text>
        <r>
          <rPr>
            <sz val="11"/>
            <color rgb="FF000000"/>
            <rFont val="Calibri"/>
            <family val="2"/>
          </rPr>
          <t>Homes with hot water recirculation systems are not eligible for credit unless they are on-demand.</t>
        </r>
      </text>
    </comment>
    <comment ref="F272" authorId="0" shapeId="0" xr:uid="{00000000-0006-0000-0000-000018000000}">
      <text>
        <r>
          <rPr>
            <sz val="11"/>
            <color rgb="FF000000"/>
            <rFont val="Calibri"/>
            <family val="2"/>
          </rPr>
          <t xml:space="preserve">Pipes located in exterior walls and floors are considered to be in the unconditioned space
</t>
        </r>
      </text>
    </comment>
    <comment ref="F284" authorId="0" shapeId="0" xr:uid="{00000000-0006-0000-0000-000019000000}">
      <text>
        <r>
          <rPr>
            <sz val="11"/>
            <color rgb="FF000000"/>
            <rFont val="Calibri"/>
            <family val="2"/>
          </rPr>
          <t>- Mountain Region: 1'-8", Piedmont Region- 2'-0", Coastal: Region: 2'-4"  
- May include gutter as part of the overhang; long dimension of home faces within 15 degrees East or West of solar south</t>
        </r>
      </text>
    </comment>
    <comment ref="F302" authorId="0" shapeId="0" xr:uid="{00000000-0006-0000-0000-00001A000000}">
      <text>
        <r>
          <rPr>
            <sz val="11"/>
            <color rgb="FF000000"/>
            <rFont val="Calibri"/>
            <family val="2"/>
          </rPr>
          <t>Provide 1 sq. in. of free area opening per 1 CFM of supply air</t>
        </r>
      </text>
    </comment>
    <comment ref="F304" authorId="0" shapeId="0" xr:uid="{00000000-0006-0000-0000-00001B000000}">
      <text>
        <r>
          <rPr>
            <sz val="11"/>
            <color rgb="FF000000"/>
            <rFont val="Calibri"/>
            <family val="2"/>
          </rPr>
          <t xml:space="preserve">On High Speed, with respect to the main body of the home when all bedroom doors are closed and all air handlers are operating.
</t>
        </r>
      </text>
    </comment>
    <comment ref="F349" authorId="0" shapeId="0" xr:uid="{00000000-0006-0000-0000-00001C000000}">
      <text>
        <r>
          <rPr>
            <sz val="11"/>
            <color rgb="FF000000"/>
            <rFont val="Calibri"/>
            <family val="2"/>
          </rPr>
          <t>Compact Design Systems must meet all of the following:
1) No branch line from the water heater to any fixture may exceed 20 feet in one story homes. Add 1x the ceiling height for 2 story homes and 2x the ceiling height in three or four story homes.
Central Manifold Systems must meet all of the following:
1) The central manifold trunk must be no more than 6 feet in length and insulated to at least R-4
2) No branch line from the central manifold to any fixtures may exceed 20 feet in one story homes, add 1x the ceiling height for 2 story homes and 2x the ceiling height in three or four story homes.
3) Branch lines from the manifold must be a maximum of 1/2 inch nominal diameter
Structured Plumbing Systems must meet all of the following:
1) The system must have a demand controlled circulation loop, that insulated to at least R-4
2) The total length of the circulation loop must be less than 40 linear feet of plumbing in one story homes, 2x the ceiling height for 2 story homes, add 4x the ceiling height in 3 or 4 story homes
3) Branch lines from the loop to each fixture must be less than or equal to 10 feet long and no more than 1/2 inch nominal diameter
4) The system must be designed with a push button control or occupancy sensor in each full bathroom and the kitchen with an automatic pump shut-off
Reference: LEED for Homes v 2008 Reference Guide</t>
        </r>
      </text>
    </comment>
    <comment ref="G362" authorId="0" shapeId="0" xr:uid="{00000000-0006-0000-0000-00001D000000}">
      <text>
        <r>
          <rPr>
            <sz val="11"/>
            <color rgb="FF000000"/>
            <rFont val="Calibri"/>
            <family val="2"/>
          </rPr>
          <t xml:space="preserve">Eligible appliances include: 
Refrigerator
Dishwasher
Oven
Laundry
3 smaller appliances = 1 credit:
   TV, Computer, Stereo etc. </t>
        </r>
      </text>
    </comment>
    <comment ref="F363" authorId="0" shapeId="0" xr:uid="{00000000-0006-0000-0000-00001E000000}">
      <text>
        <r>
          <rPr>
            <sz val="11"/>
            <color rgb="FF000000"/>
            <rFont val="Calibri"/>
            <family val="2"/>
          </rPr>
          <t>Whole house lighting off switch would also qualify</t>
        </r>
      </text>
    </comment>
    <comment ref="F364" authorId="0" shapeId="0" xr:uid="{00000000-0006-0000-0000-00001F000000}">
      <text>
        <r>
          <rPr>
            <sz val="11"/>
            <color rgb="FF000000"/>
            <rFont val="Calibri"/>
            <family val="2"/>
          </rPr>
          <t>If in individual units, must be installed on breaker to allow occupants to monitor energy usage of appliances in real-time.
If for whole-building, building owner or super must have access.</t>
        </r>
      </text>
    </comment>
    <comment ref="F391" authorId="1" shapeId="0" xr:uid="{00000000-0006-0000-0000-000020000000}">
      <text>
        <r>
          <rPr>
            <sz val="11"/>
            <color indexed="81"/>
            <rFont val="Calibri"/>
            <family val="2"/>
            <scheme val="minor"/>
          </rPr>
          <t xml:space="preserve">Thoroughly clean and vacuum ducts after final construction stages and replace filters if in use during the construction phase
</t>
        </r>
      </text>
    </comment>
    <comment ref="F396" authorId="2" shapeId="0" xr:uid="{5567F65B-ABE7-433D-A68E-D18724516BBF}">
      <text>
        <r>
          <rPr>
            <b/>
            <sz val="9"/>
            <color indexed="81"/>
            <rFont val="Tahoma"/>
            <family val="2"/>
          </rPr>
          <t>Leigha Dickens:</t>
        </r>
        <r>
          <rPr>
            <sz val="9"/>
            <color indexed="81"/>
            <rFont val="Tahoma"/>
            <family val="2"/>
          </rPr>
          <t xml:space="preserve">
ERV/HRV points can be earned for either ERV/HRV use in each individual unit, OR a building-wide ERV/HRV.
</t>
        </r>
      </text>
    </comment>
    <comment ref="F397" authorId="0" shapeId="0" xr:uid="{00000000-0006-0000-0000-000021000000}">
      <text>
        <r>
          <rPr>
            <sz val="11"/>
            <color rgb="FF000000"/>
            <rFont val="Calibri"/>
            <family val="2"/>
          </rPr>
          <t xml:space="preserve">A Distributed Ventilation system is either exhaust from every bathroom OR supply to every bedroom and main living space.  
An ERV that supplies air into the HVAC return is considered distributed if there is a return in every bedroom. 
NOTE: While fan-interlocked ERVS may also take this credit, this strategy is not recommended due to the energy penalty, and the HERS model must include the central air handler fan wattage as part of the ventilation energy use.  </t>
        </r>
      </text>
    </comment>
    <comment ref="F398" authorId="0" shapeId="0" xr:uid="{00000000-0006-0000-0000-000022000000}">
      <text>
        <r>
          <rPr>
            <sz val="11"/>
            <color rgb="FF000000"/>
            <rFont val="Calibri"/>
            <family val="2"/>
          </rPr>
          <t xml:space="preserve">A Balanced Ventilation System in multifamily must have both supply and exhaust to the dwelling unit, measured to be within 20% of each other
</t>
        </r>
      </text>
    </comment>
    <comment ref="F409" authorId="0" shapeId="0" xr:uid="{00000000-0006-0000-0000-000023000000}">
      <text>
        <r>
          <rPr>
            <sz val="11"/>
            <color rgb="FF000000"/>
            <rFont val="Calibri"/>
            <family val="2"/>
          </rPr>
          <t>Dehumidification system must have the capacity and design such that at least 90% of below grade area will maintain an interior relative humidity at or below 50% at 75 degrees Fahrenheit</t>
        </r>
      </text>
    </comment>
    <comment ref="F410" authorId="0" shapeId="0" xr:uid="{00000000-0006-0000-0000-000024000000}">
      <text>
        <r>
          <rPr>
            <sz val="11"/>
            <color rgb="FF000000"/>
            <rFont val="Calibri"/>
            <family val="2"/>
          </rPr>
          <t xml:space="preserve">Dehumidification system shall be installed to remove moisture from at least 90% of conditioned areas and be designed to maintain interior relative humidity at or below 50% at 75 degrees Fahrenheit.
</t>
        </r>
      </text>
    </comment>
    <comment ref="F411" authorId="0" shapeId="0" xr:uid="{00000000-0006-0000-0000-000025000000}">
      <text>
        <r>
          <rPr>
            <sz val="11"/>
            <color rgb="FF000000"/>
            <rFont val="Calibri"/>
            <family val="2"/>
          </rPr>
          <t>Homes with wood burning fireplaces can still get this credit if there is no other combustion equipment in the home.</t>
        </r>
      </text>
    </comment>
    <comment ref="F417" authorId="0" shapeId="0" xr:uid="{00000000-0006-0000-0000-000026000000}">
      <text>
        <r>
          <rPr>
            <sz val="11"/>
            <color rgb="FF000000"/>
            <rFont val="Calibri"/>
            <family val="2"/>
          </rPr>
          <t xml:space="preserve">90% of component must meet the criteria to receive credit. 
Each material must meet one of the following to receive the credit:
KCMA
CRI Green Label Plus
Green Seal 
CARB 2
CA Section 01350 
GREENGUARD
SCS Indoor Advantage
Low toxic alternatives to conventional products considered "Living Building Challenge Compliant" Qualify
Note: If the product doesn't meet any of the above, you may submit it for approval by the program on a case by case basis.  </t>
        </r>
      </text>
    </comment>
    <comment ref="F433" authorId="0" shapeId="0" xr:uid="{00000000-0006-0000-0000-000027000000}">
      <text>
        <r>
          <rPr>
            <sz val="11"/>
            <color rgb="FF000000"/>
            <rFont val="Calibri"/>
            <family val="2"/>
          </rPr>
          <t>HDPE or Copper piping are PVC free and eligible for credit</t>
        </r>
      </text>
    </comment>
    <comment ref="F434" authorId="0" shapeId="0" xr:uid="{00000000-0006-0000-0000-000028000000}">
      <text>
        <r>
          <rPr>
            <sz val="11"/>
            <color rgb="FF000000"/>
            <rFont val="Calibri"/>
            <family val="2"/>
          </rPr>
          <t>MgO or Air Renew drywall qualify</t>
        </r>
      </text>
    </comment>
    <comment ref="F435" authorId="0" shapeId="0" xr:uid="{00000000-0006-0000-0000-000029000000}">
      <text>
        <r>
          <rPr>
            <sz val="11"/>
            <color rgb="FF000000"/>
            <rFont val="Calibri"/>
            <family val="2"/>
          </rPr>
          <t xml:space="preserve">-For 48 total hours with windows open and run a fan and/or HVAC Fans and Exhaust fans continuously at max setting.  48 Hours can be non-consecutive.
</t>
        </r>
      </text>
    </comment>
    <comment ref="F446" authorId="0" shapeId="0" xr:uid="{00000000-0006-0000-0000-00002A000000}">
      <text>
        <r>
          <rPr>
            <sz val="11"/>
            <color rgb="FF000000"/>
            <rFont val="Calibri"/>
            <family val="2"/>
          </rPr>
          <t xml:space="preserve">Locate the cutting area for cutting lumber and wood panel products in one area.  Store cutoffs and panel pieces with other similar sized cuttings for ease of use when small pieces are needed.  The goal is to use leftover pieces in lieu of full sized lumber when appropriate.
Buildings at least 3 stories should have one per floor. 
</t>
        </r>
      </text>
    </comment>
    <comment ref="F447" authorId="0" shapeId="0" xr:uid="{00000000-0006-0000-0000-00002B000000}">
      <text>
        <r>
          <rPr>
            <sz val="11"/>
            <color rgb="FF000000"/>
            <rFont val="Calibri"/>
            <family val="2"/>
          </rPr>
          <t xml:space="preserve">Locate the cutting area for cutting lumber and wood panel products in one area.  Store cutoffs and panel pieces with other similar sized cuttings for ease of use when small pieces are needed.  The goal is to use leftover pieces in lieu of full sized lumber when appropriate.
</t>
        </r>
      </text>
    </comment>
    <comment ref="F448" authorId="0" shapeId="0" xr:uid="{00000000-0006-0000-0000-00002C000000}">
      <text>
        <r>
          <rPr>
            <sz val="11"/>
            <color rgb="FF000000"/>
            <rFont val="Calibri"/>
            <family val="2"/>
          </rPr>
          <t>Cannot be taken in conjunction with #6</t>
        </r>
      </text>
    </comment>
    <comment ref="F454" authorId="0" shapeId="0" xr:uid="{00000000-0006-0000-0000-00002D000000}">
      <text>
        <r>
          <rPr>
            <sz val="11"/>
            <color rgb="FF000000"/>
            <rFont val="Calibri"/>
            <family val="2"/>
          </rPr>
          <t>Examples: 
vinyl, carpet, asphalt, concrete</t>
        </r>
      </text>
    </comment>
    <comment ref="F455" authorId="0" shapeId="0" xr:uid="{00000000-0006-0000-0000-00002E000000}">
      <text>
        <r>
          <rPr>
            <sz val="11"/>
            <color rgb="FF000000"/>
            <rFont val="Calibri"/>
            <family val="2"/>
          </rPr>
          <t>Cannot be taken in conjunction with #5</t>
        </r>
      </text>
    </comment>
    <comment ref="F460" authorId="0" shapeId="0" xr:uid="{00000000-0006-0000-0000-00002F000000}">
      <text>
        <r>
          <rPr>
            <sz val="11"/>
            <color rgb="FF000000"/>
            <rFont val="Calibri"/>
            <family val="2"/>
          </rPr>
          <t xml:space="preserve">A capillary break shall be installed between a concrete foundation wall and the sill plate. The capillary break should be a sill gasket, EPDM-type rubber, or other suitable membrane that can prevent bulk moisture from reaching the framing by way of capillary action.
Decks are excluded from this requirement.
</t>
        </r>
      </text>
    </comment>
    <comment ref="F462" authorId="0" shapeId="0" xr:uid="{00000000-0006-0000-0000-000030000000}">
      <text>
        <r>
          <rPr>
            <sz val="11"/>
            <color rgb="FF000000"/>
            <rFont val="Calibri"/>
            <family val="2"/>
          </rPr>
          <t xml:space="preserve">All below grade walls shall be damp-proofed and feature a drainage plane material on the exterior of the wall that channels water down to the drain tile. Drainage plane materials include special drainage mats, high-density fiberglass insulation products, and washed gravel. 
</t>
        </r>
      </text>
    </comment>
    <comment ref="F463" authorId="0" shapeId="0" xr:uid="{00000000-0006-0000-0000-000031000000}">
      <text>
        <r>
          <rPr>
            <sz val="11"/>
            <color rgb="FF000000"/>
            <rFont val="Calibri"/>
            <family val="2"/>
          </rPr>
          <t xml:space="preserve">A continuous foundation drain, flush with the bottom of the footing and covered with silt
protection fabric, gravel, or both, shall be installed. All footing drain lines shall be connected away and downhill from the foundation. 
</t>
        </r>
      </text>
    </comment>
    <comment ref="F464" authorId="0" shapeId="0" xr:uid="{00000000-0006-0000-0000-000032000000}">
      <text>
        <r>
          <rPr>
            <sz val="11"/>
            <color rgb="FF000000"/>
            <rFont val="Calibri"/>
            <family val="2"/>
          </rPr>
          <t xml:space="preserve">Install drip edge below flashing.  Metal drip edge supports shingles which extend beyond the fascia, particularly over gutters.  As with all roofing components, care should be taken to install metal drip edge using storm resistance techniques recommended for the local wind zone.
</t>
        </r>
      </text>
    </comment>
    <comment ref="F467" authorId="0" shapeId="0" xr:uid="{00000000-0006-0000-0000-000033000000}">
      <text>
        <r>
          <rPr>
            <sz val="11"/>
            <color rgb="FF000000"/>
            <rFont val="Calibri"/>
            <family val="2"/>
          </rPr>
          <t xml:space="preserve">Overhang must provide a projection factor of at least 0.375. The Projection Factor is the ratio of the overhang depth (A)  to the overhang height (B) above the door threshold.
</t>
        </r>
      </text>
    </comment>
    <comment ref="F476" authorId="0" shapeId="0" xr:uid="{00000000-0006-0000-0000-000034000000}">
      <text>
        <r>
          <rPr>
            <sz val="11"/>
            <color rgb="FF000000"/>
            <rFont val="Calibri"/>
            <family val="2"/>
          </rPr>
          <t xml:space="preserve">All cut or unprimed sides of painted or stained exterior trim shall be primed prior to installation.  Pre-primed product does not need to be re-primed, as long as no cut has been made.  This includes the ends, the top and bottom edges and the front and back face.  Separate incompatible trim products as required by manufacturer for corrosion resistance.
</t>
        </r>
      </text>
    </comment>
    <comment ref="F478" authorId="0" shapeId="0" xr:uid="{00000000-0006-0000-0000-000035000000}">
      <text>
        <r>
          <rPr>
            <sz val="11"/>
            <color rgb="FF000000"/>
            <rFont val="Calibri"/>
            <family val="2"/>
          </rPr>
          <t>Exception: Dryer Vents</t>
        </r>
      </text>
    </comment>
    <comment ref="F479" authorId="0" shapeId="0" xr:uid="{00000000-0006-0000-0000-000036000000}">
      <text>
        <r>
          <rPr>
            <sz val="11"/>
            <color rgb="FF000000"/>
            <rFont val="Calibri"/>
            <family val="2"/>
          </rPr>
          <t>Excludes all decking and porches but all decking and porch wood should be separated from concrete by metal or plastic fasteners or dividers</t>
        </r>
      </text>
    </comment>
    <comment ref="F480" authorId="0" shapeId="0" xr:uid="{00000000-0006-0000-0000-000037000000}">
      <text>
        <r>
          <rPr>
            <sz val="11"/>
            <color rgb="FF000000"/>
            <rFont val="Calibri"/>
            <family val="2"/>
          </rPr>
          <t>House has to have been landscaped to receive this credit.  Homes with no landscaping to not automatically qualify</t>
        </r>
      </text>
    </comment>
    <comment ref="F482" authorId="0" shapeId="0" xr:uid="{00000000-0006-0000-0000-000038000000}">
      <text>
        <r>
          <rPr>
            <sz val="11"/>
            <color rgb="FF000000"/>
            <rFont val="Calibri"/>
            <family val="2"/>
          </rPr>
          <t>Unless otherwise specified:
A material must make up 90% of the component
Local Production=extracted, processed and manufactured within 500 miles of the home
Recycled Content=25% Post-Consumer or 50% Pre-Consumer
Third Party Certified Wood= FSC</t>
        </r>
      </text>
    </comment>
    <comment ref="F483" authorId="0" shapeId="0" xr:uid="{00000000-0006-0000-0000-000039000000}">
      <text>
        <r>
          <rPr>
            <sz val="11"/>
            <color rgb="FF000000"/>
            <rFont val="Calibri"/>
            <family val="2"/>
          </rPr>
          <t>Points only available if concrete is 25% or greater fly ash (Points are available for Locally Manufactured under "flooring" ("n" or "o") below if the concrete is the finished floor material)</t>
        </r>
      </text>
    </comment>
    <comment ref="F503" authorId="0" shapeId="0" xr:uid="{00000000-0006-0000-0000-00003A000000}">
      <text>
        <r>
          <rPr>
            <sz val="11"/>
            <color rgb="FF000000"/>
            <rFont val="Calibri"/>
            <family val="2"/>
          </rPr>
          <t xml:space="preserve">
Projects with 10% or more of units containing these features can earn an additional innovation point for each feature. </t>
        </r>
      </text>
    </comment>
    <comment ref="F504" authorId="2" shapeId="0" xr:uid="{6B0AC837-A4EE-4523-950D-954DF854AA74}">
      <text>
        <r>
          <rPr>
            <b/>
            <sz val="9"/>
            <color indexed="81"/>
            <rFont val="Tahoma"/>
            <family val="2"/>
          </rPr>
          <t>Leigha Dickens:</t>
        </r>
        <r>
          <rPr>
            <sz val="9"/>
            <color indexed="81"/>
            <rFont val="Tahoma"/>
            <family val="2"/>
          </rPr>
          <t xml:space="preserve">
The bathroom door must be at least 34" wide and bathroom must be large enough to accommodate a wheelchair turning radius.  Use broad blocking (sheet goods) rated for moisture installations in walls around the toilet, tub, and shower for custom placement and relocation of grab bars.  Inform the homeowner of the location of sheet good blocking for future accessory installation. </t>
        </r>
      </text>
    </comment>
    <comment ref="F505" authorId="0" shapeId="0" xr:uid="{00000000-0006-0000-0000-00003B000000}">
      <text>
        <r>
          <rPr>
            <sz val="11"/>
            <color rgb="FF000000"/>
            <rFont val="Calibri"/>
            <family val="2"/>
          </rPr>
          <t xml:space="preserve">
</t>
        </r>
      </text>
    </comment>
    <comment ref="F507" authorId="2" shapeId="0" xr:uid="{35234196-2E8F-4689-816A-568E5345B27B}">
      <text>
        <r>
          <rPr>
            <b/>
            <sz val="9"/>
            <color indexed="81"/>
            <rFont val="Tahoma"/>
            <family val="2"/>
          </rPr>
          <t>Leigha Dickens:</t>
        </r>
        <r>
          <rPr>
            <sz val="9"/>
            <color indexed="81"/>
            <rFont val="Tahoma"/>
            <family val="2"/>
          </rPr>
          <t xml:space="preserve">
Pantries with height adjustable shelving can provide easily accessible storage space. They can be a walk-in unit or a reach-in unit with storage shelving on the doors. Shallow shelves keep items within easy reach. 
Retractable doors can be used to conceal knee space. Special hardware allows the door to be pushed back under the counter after opening. </t>
        </r>
      </text>
    </comment>
    <comment ref="F508" authorId="2" shapeId="0" xr:uid="{9E87F97C-A991-4411-8C10-166A2D5539C4}">
      <text>
        <r>
          <rPr>
            <b/>
            <sz val="9"/>
            <color indexed="81"/>
            <rFont val="Tahoma"/>
            <family val="2"/>
          </rPr>
          <t>Leigha Dickens:</t>
        </r>
        <r>
          <rPr>
            <sz val="9"/>
            <color indexed="81"/>
            <rFont val="Tahoma"/>
            <family val="2"/>
          </rPr>
          <t xml:space="preserve">
Adjustable closet systems, including adjustable shelves and rods, can put clothing within reach for people of all abilities, and make closets more handicap accessible. Install hooks at usable heights for hanging belts, scarves, and other accessories. Include roll-under space if needed for wheelchairs.</t>
        </r>
      </text>
    </comment>
    <comment ref="F511" authorId="0" shapeId="0" xr:uid="{00000000-0006-0000-0000-00003D000000}">
      <text>
        <r>
          <rPr>
            <sz val="11"/>
            <color rgb="FF000000"/>
            <rFont val="Calibri"/>
            <family val="2"/>
          </rPr>
          <t xml:space="preserve">Lever handles and open-loop handles are designed for easy gripping. 
</t>
        </r>
      </text>
    </comment>
    <comment ref="F512" authorId="0" shapeId="0" xr:uid="{00000000-0006-0000-0000-00003E000000}">
      <text>
        <r>
          <rPr>
            <sz val="11"/>
            <color rgb="FF000000"/>
            <rFont val="Calibri"/>
            <family val="2"/>
          </rPr>
          <t xml:space="preserve">The top of the electrical panel should be no more than 54" above the floor, and located with a minimum of 30" x 40" clear floor space in front to allow for maneuverability and easy reach for those in wheelchairs.
</t>
        </r>
      </text>
    </comment>
    <comment ref="F526" authorId="0" shapeId="0" xr:uid="{00000000-0006-0000-0000-00003F000000}">
      <text>
        <r>
          <rPr>
            <sz val="11"/>
            <color rgb="FF000000"/>
            <rFont val="Calibri"/>
            <family val="2"/>
          </rPr>
          <t xml:space="preserve">Kitchen recycling centers are modified kitchen cabinets or other systems that neatly conceal recycling bins.
</t>
        </r>
      </text>
    </comment>
    <comment ref="F530" authorId="0" shapeId="0" xr:uid="{00000000-0006-0000-0000-000040000000}">
      <text>
        <r>
          <rPr>
            <sz val="11"/>
            <color rgb="FF000000"/>
            <rFont val="Calibri"/>
            <family val="2"/>
          </rPr>
          <t xml:space="preserve">Biophilic design attempts to create  connections between humans and nature.  Provide a narrative describing each element included in the home and how it achieves this goal. </t>
        </r>
      </text>
    </comment>
    <comment ref="F532" authorId="2" shapeId="0" xr:uid="{A144D0E7-4A93-40A6-A8B6-63E4212F0C93}">
      <text>
        <r>
          <rPr>
            <b/>
            <sz val="9"/>
            <color indexed="81"/>
            <rFont val="Tahoma"/>
            <family val="2"/>
          </rPr>
          <t>Leigha Dickens:</t>
        </r>
        <r>
          <rPr>
            <sz val="9"/>
            <color indexed="81"/>
            <rFont val="Tahoma"/>
            <family val="2"/>
          </rPr>
          <t xml:space="preserve">
This includes the scope 1 and scope 2 emissions associated with the direct construction activities, such as fuel for construction vehicles and jobsite utilities. 
</t>
        </r>
      </text>
    </comment>
    <comment ref="F537" authorId="0" shapeId="0" xr:uid="{00000000-0006-0000-0000-000041000000}">
      <text>
        <r>
          <rPr>
            <sz val="11"/>
            <color rgb="FF000000"/>
            <rFont val="Calibri"/>
            <family val="2"/>
          </rPr>
          <t xml:space="preserve">Contact the GBH Program Manager for access to logos, brochures and yard signs
</t>
        </r>
      </text>
    </comment>
    <comment ref="F542" authorId="0" shapeId="0" xr:uid="{00000000-0006-0000-0000-000042000000}">
      <text>
        <r>
          <rPr>
            <sz val="11"/>
            <color rgb="FF000000"/>
            <rFont val="Calibri"/>
            <family val="2"/>
          </rPr>
          <t xml:space="preserve">Online articles may be acceptable on a case by case basis.  
</t>
        </r>
      </text>
    </comment>
  </commentList>
</comments>
</file>

<file path=xl/sharedStrings.xml><?xml version="1.0" encoding="utf-8"?>
<sst xmlns="http://schemas.openxmlformats.org/spreadsheetml/2006/main" count="1183" uniqueCount="738">
  <si>
    <t>P</t>
  </si>
  <si>
    <t>N</t>
  </si>
  <si>
    <t xml:space="preserve">Builder Name/Company:  </t>
  </si>
  <si>
    <t>Do not build on any of the following:
 a. land within 100 ft. of any water body (including wetlands)
 b. At or below the 100 year floodplain elevation
 c. Prime farmland</t>
  </si>
  <si>
    <t xml:space="preserve">Project Address: </t>
  </si>
  <si>
    <t>Score …………….</t>
  </si>
  <si>
    <t>Full Name/Company of each individual taking responsibility for specific checklist items:</t>
  </si>
  <si>
    <t>List of Invasive Species</t>
  </si>
  <si>
    <t>Calculate your Walk Score</t>
  </si>
  <si>
    <t xml:space="preserve">Date of Final Walkthrough: </t>
  </si>
  <si>
    <t>USE OF THIS CHECKLIST</t>
  </si>
  <si>
    <t>A</t>
  </si>
  <si>
    <t>B</t>
  </si>
  <si>
    <t>C</t>
  </si>
  <si>
    <t>DOCUMENTATION REQUIRED TO RECEIVE CREDIT FOR CHECKLIST ITEMS</t>
  </si>
  <si>
    <t>1.</t>
  </si>
  <si>
    <t>Basic Information</t>
  </si>
  <si>
    <t>a.</t>
  </si>
  <si>
    <t>b.</t>
  </si>
  <si>
    <t>All documentation should be provided in electronic format unless approved by Green Built staff.</t>
  </si>
  <si>
    <t>2.</t>
  </si>
  <si>
    <t>Specific Types of Documentation - Descriptions</t>
  </si>
  <si>
    <t>Energy Star Guidelines</t>
  </si>
  <si>
    <t>3.</t>
  </si>
  <si>
    <t>4.</t>
  </si>
  <si>
    <t>5.</t>
  </si>
  <si>
    <t>PROJECT SCORE CARD</t>
  </si>
  <si>
    <t>EPA Indoor airPlus</t>
  </si>
  <si>
    <t>Construction Waste Management Guide</t>
  </si>
  <si>
    <t>Completed Items</t>
  </si>
  <si>
    <r>
      <rPr>
        <sz val="10"/>
        <rFont val="Calibri"/>
        <family val="2"/>
      </rPr>
      <t>Yes (</t>
    </r>
    <r>
      <rPr>
        <sz val="10"/>
        <rFont val="Calibri"/>
        <family val="2"/>
      </rPr>
      <t>"</t>
    </r>
    <r>
      <rPr>
        <sz val="10"/>
        <rFont val="Calibri"/>
        <family val="2"/>
      </rPr>
      <t>Y</t>
    </r>
    <r>
      <rPr>
        <sz val="10"/>
        <rFont val="Calibri"/>
        <family val="2"/>
      </rPr>
      <t>"</t>
    </r>
    <r>
      <rPr>
        <sz val="10"/>
        <rFont val="Calibri"/>
        <family val="2"/>
      </rPr>
      <t>) Items -</t>
    </r>
    <r>
      <rPr>
        <sz val="10"/>
        <rFont val="Calibri"/>
        <family val="2"/>
      </rPr>
      <t xml:space="preserve">
Does </t>
    </r>
    <r>
      <rPr>
        <sz val="10"/>
        <rFont val="Calibri"/>
        <family val="2"/>
      </rPr>
      <t>NOT</t>
    </r>
    <r>
      <rPr>
        <sz val="10"/>
        <rFont val="Calibri"/>
        <family val="2"/>
      </rPr>
      <t xml:space="preserve"> include </t>
    </r>
    <r>
      <rPr>
        <u/>
        <sz val="10"/>
        <rFont val="Calibri"/>
        <family val="2"/>
      </rPr>
      <t>Maybe</t>
    </r>
    <r>
      <rPr>
        <sz val="10"/>
        <rFont val="Calibri"/>
        <family val="2"/>
      </rPr>
      <t xml:space="preserve"> ("M") items</t>
    </r>
  </si>
  <si>
    <r>
      <t xml:space="preserve">Yes ("Y") Items - PLUS
 </t>
    </r>
    <r>
      <rPr>
        <u/>
        <sz val="10"/>
        <rFont val="Calibri"/>
        <family val="2"/>
      </rPr>
      <t>Maybe</t>
    </r>
    <r>
      <rPr>
        <sz val="10"/>
        <rFont val="Calibri"/>
        <family val="2"/>
      </rPr>
      <t xml:space="preserve"> ("M" ) Items</t>
    </r>
  </si>
  <si>
    <t>Prerequisites</t>
  </si>
  <si>
    <t>n/a</t>
  </si>
  <si>
    <t>Just Economics</t>
  </si>
  <si>
    <t>Water  (5 Pts Req.)</t>
  </si>
  <si>
    <t>Heating and Cooling  (5 Pts Req.)</t>
  </si>
  <si>
    <t>Appliances, Lighting and Renewables (3 Pts Req.)</t>
  </si>
  <si>
    <t>Bonus (3 Pts Req.)</t>
  </si>
  <si>
    <t>Total Overall Score for Home</t>
  </si>
  <si>
    <t xml:space="preserve">Notes:  </t>
  </si>
  <si>
    <t>Enter "P" next to each Prerequisite that has "Passed" (Approved Raters Only)</t>
  </si>
  <si>
    <t>Points</t>
  </si>
  <si>
    <t>Documentation</t>
  </si>
  <si>
    <t xml:space="preserve">Notes / Dates / Initials    </t>
  </si>
  <si>
    <t>Comply with all federal, state and local government requirements including but not limited to: NC Building Code, NC Energy Code and local regulations.</t>
  </si>
  <si>
    <t xml:space="preserve">Required </t>
  </si>
  <si>
    <t>Copy of Certificate of Occupancy (CO);
Evidence of Permanent Power</t>
  </si>
  <si>
    <t>Energy Code Resources and Details from NC Energy Star</t>
  </si>
  <si>
    <t>ENERGY STAR Cert or NC HERO Code Compliance Report AND HERS Cert</t>
  </si>
  <si>
    <t>Blower door test results</t>
  </si>
  <si>
    <t>Explanation of a Blower door test</t>
  </si>
  <si>
    <t>Inspection and test results</t>
  </si>
  <si>
    <t>All space heating and cooling equipment sized according to ANSI/ACCA Manual J 8th edition, Room by Room Calculations, performed by a Responsible Party. The total cooling capacity of each cooling system must comply with Manual S or current ENERGY STAR oversizing guidelines</t>
  </si>
  <si>
    <t xml:space="preserve">Copy of calculations </t>
  </si>
  <si>
    <t>Right Sized Heating and Cooling Equipment DOE Factsheet</t>
  </si>
  <si>
    <t>Inspection and rated flow</t>
  </si>
  <si>
    <t>NREL's Fact Sheet on Spot Ventilation</t>
  </si>
  <si>
    <t xml:space="preserve">Inspection and Signature </t>
  </si>
  <si>
    <t>Air in attached garage separated from conditioned air.
•  Provide air barrier between conditioned living space and garage; including weatherstripping at all penetrations, sealed drywall joints, and other measures as necessary. 
•  Air Handlers may not be installed in a garage.</t>
  </si>
  <si>
    <t>Inspection</t>
  </si>
  <si>
    <t xml:space="preserve">Install window and door flashings at all openings as recommended by the window/door manufacturer in conjunction with recommendations by the weather resistant barrier manufacturer. </t>
  </si>
  <si>
    <t>Inspection or Signature</t>
  </si>
  <si>
    <t>Inspection OR Copy of test results as applicable</t>
  </si>
  <si>
    <t>Develop and implement an erosion control site plan.  In jurisdictions where erosion control site plans are required, no additional plan required.</t>
  </si>
  <si>
    <t>Copy of plan, Inspection</t>
  </si>
  <si>
    <t>No "Rank 1" invasive species introduced into the landscape</t>
  </si>
  <si>
    <t>EPA's Renewable Energy Ready Home Resources</t>
  </si>
  <si>
    <t>Enter "Y" (for Yes) or "M" (for Maybe) in the appropriate column; items not attempted can be left blank</t>
  </si>
  <si>
    <t>Pts</t>
  </si>
  <si>
    <t>Score</t>
  </si>
  <si>
    <t xml:space="preserve">Documentation </t>
  </si>
  <si>
    <t xml:space="preserve">Notes / Dates / Initials   </t>
  </si>
  <si>
    <t>Y</t>
  </si>
  <si>
    <t>M</t>
  </si>
  <si>
    <t>Pass</t>
  </si>
  <si>
    <t>Y/M</t>
  </si>
  <si>
    <t>Site Disturbance</t>
  </si>
  <si>
    <t>Inspection, copy of calculations if applicable</t>
  </si>
  <si>
    <t>a</t>
  </si>
  <si>
    <t>b</t>
  </si>
  <si>
    <t xml:space="preserve"> Use permeable materials for 50% of walkways and patios</t>
  </si>
  <si>
    <t>c</t>
  </si>
  <si>
    <t>d</t>
  </si>
  <si>
    <t xml:space="preserve"> Vegetated roof system  (1 point per 20% roof area)</t>
  </si>
  <si>
    <t>enter points</t>
  </si>
  <si>
    <t>Inspection, copy of calculations</t>
  </si>
  <si>
    <t>Preserve and cover topsoil onsite for reuse</t>
  </si>
  <si>
    <t>Remove existing invasive plant species from the landscape</t>
  </si>
  <si>
    <t>Signature, list of species</t>
  </si>
  <si>
    <t>Develop and implement a tree preservation plan</t>
  </si>
  <si>
    <t>Inspection, Copy of Plan</t>
  </si>
  <si>
    <t>1-5</t>
  </si>
  <si>
    <t>Protecting Trees During Construction</t>
  </si>
  <si>
    <t xml:space="preserve">Leave &gt;25% of trees and natural features on site undisturbed during construction </t>
  </si>
  <si>
    <t xml:space="preserve">Inspection </t>
  </si>
  <si>
    <t>Tree planting (minimum 12 trees per acre of developed land)</t>
  </si>
  <si>
    <t>Inspection or Photo</t>
  </si>
  <si>
    <t>80% of stumps and limbs ground for mulch</t>
  </si>
  <si>
    <t xml:space="preserve">Signature </t>
  </si>
  <si>
    <t xml:space="preserve">80% of cleared logs milled </t>
  </si>
  <si>
    <t xml:space="preserve">Signature </t>
  </si>
  <si>
    <t>Biodiesel Benefits and Considerations</t>
  </si>
  <si>
    <t>B20 blend biodiesel used for diesel fueled construction equipment</t>
  </si>
  <si>
    <t>Signature and name of fuel provider</t>
  </si>
  <si>
    <t>Find a Biodiesel Station</t>
  </si>
  <si>
    <t>Site designated as part of a Firewise USA Community</t>
  </si>
  <si>
    <t>Copy of certificate</t>
  </si>
  <si>
    <t>Location</t>
  </si>
  <si>
    <t>Inspection, Floodplain Map, USDA Soil Survey Rating</t>
  </si>
  <si>
    <t>Inspection, Walk Score</t>
  </si>
  <si>
    <t xml:space="preserve">  Walk Score greater &gt; 30</t>
  </si>
  <si>
    <t xml:space="preserve">  Walk Score greater &gt; 50</t>
  </si>
  <si>
    <t xml:space="preserve">  Walk Score greater &gt; 70</t>
  </si>
  <si>
    <t>Inspection, map of lanes if requested</t>
  </si>
  <si>
    <t>Compact Development (Choose ONE):</t>
  </si>
  <si>
    <t>Inspection,
Other info on request</t>
  </si>
  <si>
    <t>Signature</t>
  </si>
  <si>
    <t>Buncombe County Workforce Housing</t>
  </si>
  <si>
    <t>Landscaping</t>
  </si>
  <si>
    <t>Landscaping techniques that utilize perennial native, pollinator-friendly and/or edible plants (Choose ONE):</t>
  </si>
  <si>
    <t>Signature, list of species on request</t>
  </si>
  <si>
    <t xml:space="preserve"> Design provided to be at least 50% of the landscaped area</t>
  </si>
  <si>
    <t xml:space="preserve">  Installed in at least 50% of the landscaped area</t>
  </si>
  <si>
    <t xml:space="preserve">  Installed in 100% of the landscaped area</t>
  </si>
  <si>
    <t>Edible Landscaping</t>
  </si>
  <si>
    <t>Inspection, Documents upon request</t>
  </si>
  <si>
    <t>Innovation Points - Builder submits specifications for innovative products or design (max. 7 innovation pts awarded per category)</t>
  </si>
  <si>
    <t>enter pts</t>
  </si>
  <si>
    <t>Notes / Dates / Initials</t>
  </si>
  <si>
    <t>Calculation</t>
  </si>
  <si>
    <t>Outdoor</t>
  </si>
  <si>
    <t>1-10</t>
  </si>
  <si>
    <t>Percent Drought Resistant Landscape</t>
  </si>
  <si>
    <t>f</t>
  </si>
  <si>
    <t>Code approved system for indoor rainwater use (Choose ONE)</t>
  </si>
  <si>
    <t xml:space="preserve">  Pre-plumbed for toilet flushing</t>
  </si>
  <si>
    <t>e</t>
  </si>
  <si>
    <t xml:space="preserve">  100% of greywater captured, reused and/or treated onsite</t>
  </si>
  <si>
    <t>Irrigation system is zoned separately for turf and bedding areas</t>
  </si>
  <si>
    <t>Irrigation system includes a soil moisture or rain sensor, or other irrigation efficiency device</t>
  </si>
  <si>
    <t>Indoor</t>
  </si>
  <si>
    <t xml:space="preserve">  WaterSense labeled or 1.5 gpm flow rate</t>
  </si>
  <si>
    <t xml:space="preserve"> &lt; 1.5 gpm flow rate</t>
  </si>
  <si>
    <t xml:space="preserve">  ≤ 2.0 gpm flow rate</t>
  </si>
  <si>
    <t xml:space="preserve">  ≤ 1.75 gpm flow rate</t>
  </si>
  <si>
    <t>1-2</t>
  </si>
  <si>
    <t>2-4</t>
  </si>
  <si>
    <t>List of ENERGY STAR Qualified Products</t>
  </si>
  <si>
    <t xml:space="preserve">  ENERGY STAR Labeled</t>
  </si>
  <si>
    <t xml:space="preserve">  ENERGY STAR Labeled with iMEF&gt;2.4  and iWF&lt;3.7</t>
  </si>
  <si>
    <t xml:space="preserve">  ENERGY STAR labeled</t>
  </si>
  <si>
    <t xml:space="preserve">  ENERGY STAR Labeled and uses ≤ 3.5 gallons/cycle</t>
  </si>
  <si>
    <t>Letter template</t>
  </si>
  <si>
    <t xml:space="preserve">Subtotal for Water (5 Points Required) </t>
  </si>
  <si>
    <t xml:space="preserve">Notes / Dates / Initials </t>
  </si>
  <si>
    <t>1-35</t>
  </si>
  <si>
    <t>Confirmed HERS Certificate</t>
  </si>
  <si>
    <t>What is the HERS Index? By RESNET</t>
  </si>
  <si>
    <t>Copy of Certificate from Rater</t>
  </si>
  <si>
    <t>Blower door test performed with following minimum standards met (Choose ONE):</t>
  </si>
  <si>
    <t xml:space="preserve">  Minimum standard of 0.20 CFM50/sf of surface area</t>
  </si>
  <si>
    <t xml:space="preserve">  Minimum standard of 0.15 CFM50/sf of surface area </t>
  </si>
  <si>
    <t xml:space="preserve">  Minimum standard of 0.10 CFM50/sf of surface area </t>
  </si>
  <si>
    <t xml:space="preserve">Slab on Grade </t>
  </si>
  <si>
    <t>Building America Slab Insulation Details</t>
  </si>
  <si>
    <t>Building Science Corp: Slab Insulation</t>
  </si>
  <si>
    <t>Insulation under entire slab (Zone3=R-5, Zone4/5=R-10)</t>
  </si>
  <si>
    <t>Code approved detail eliminating 2" termite view strip</t>
  </si>
  <si>
    <t>Basement with Insulated walls</t>
  </si>
  <si>
    <t xml:space="preserve">  R-11 continuous or R-15 cavity</t>
  </si>
  <si>
    <t xml:space="preserve">  R-15 continuous or R-19 cavity</t>
  </si>
  <si>
    <t>Rim joist insulated with spray foam or equivalent grade 1 installation with air barrier</t>
  </si>
  <si>
    <t>Crawlspace with Insulated walls</t>
  </si>
  <si>
    <t>Advanced Energy-Closed Crawlspaces Design Guide</t>
  </si>
  <si>
    <t>Advanced Energy- Closed Crawlspace Quick Reference</t>
  </si>
  <si>
    <t>Basement, Crawlspace, or Cantilevers with Floor Insulation</t>
  </si>
  <si>
    <t>ENERGY STAR Insulation Fact Sheet</t>
  </si>
  <si>
    <t>Wood Frame Wall Construction</t>
  </si>
  <si>
    <t>Wood Frame Wall Insulation (Choose ONE):</t>
  </si>
  <si>
    <t xml:space="preserve">  Wall insulation: Zone=R-19, Zone4=R-19, Zone5=R-21</t>
  </si>
  <si>
    <t xml:space="preserve">  Wall insulation: Zone3=R-21, Zone4=R-21, Zone5=R-23</t>
  </si>
  <si>
    <t xml:space="preserve">  Insulated headers to &gt;R3</t>
  </si>
  <si>
    <t>Advanced Framing DOE Factsheet</t>
  </si>
  <si>
    <t xml:space="preserve">  Insulated headers to &gt;R9 </t>
  </si>
  <si>
    <t>Insulated corners</t>
  </si>
  <si>
    <t>Building Science Corp: Advanced Framing</t>
  </si>
  <si>
    <t>Insulated t-walls</t>
  </si>
  <si>
    <t>Exterior walls framed at 24" o.c.</t>
  </si>
  <si>
    <t>Continuous insulation (Choose ONE):</t>
  </si>
  <si>
    <t xml:space="preserve">  Zone3=R-13, Zone4=R-15, Zone5=R-19</t>
  </si>
  <si>
    <t xml:space="preserve">  Zone3=R-16, Zone4=R-18, Zone5=R-22</t>
  </si>
  <si>
    <t>Thermal bridging less than 5%</t>
  </si>
  <si>
    <t>Ceiling/Attic</t>
  </si>
  <si>
    <t>Building America: Unvented Attics</t>
  </si>
  <si>
    <t xml:space="preserve">  Unvented, encapsulated attic assembly</t>
  </si>
  <si>
    <t>Unvented Conditioned Attics DOE Factsheet</t>
  </si>
  <si>
    <t xml:space="preserve">  Radiant barrier installed facing into air space</t>
  </si>
  <si>
    <t>Radiant Barriers DOE Factsheet</t>
  </si>
  <si>
    <t>ENERGY STAR shingles or reflective roofing</t>
  </si>
  <si>
    <t>Signature, Product Name</t>
  </si>
  <si>
    <t>ENERGY STAR Qualified Roof Products</t>
  </si>
  <si>
    <t>Windows, Doors, Piping, Electrical</t>
  </si>
  <si>
    <t>National Fenestration Rating Council</t>
  </si>
  <si>
    <t xml:space="preserve">  Average .32 or less</t>
  </si>
  <si>
    <t xml:space="preserve">  Average .25 or less</t>
  </si>
  <si>
    <t>DOE: Choosing Energy Efficient Windows</t>
  </si>
  <si>
    <t xml:space="preserve">  Average .22 or less</t>
  </si>
  <si>
    <t>Electrical panel located on interior wall OR with min. R-15 insulation to the outside of it</t>
  </si>
  <si>
    <t>Passive Solar Heating and Cooling Strategies</t>
  </si>
  <si>
    <t>Provide one ceiling fan per 750 sf of conditioned space (no more than 5 fans required)</t>
  </si>
  <si>
    <t>Sus Design Overhang Calculator</t>
  </si>
  <si>
    <t>Passive Solar Design by DOE</t>
  </si>
  <si>
    <t>Inspection, Calculations</t>
  </si>
  <si>
    <t>Perform duct blaster test and meet the following minimum standards when measured in CFM / 25Pa of leakage (Choose ONE):</t>
  </si>
  <si>
    <t>Copy of duct leakage test results</t>
  </si>
  <si>
    <t>DOE: Ducts in the Conditioned Space</t>
  </si>
  <si>
    <t>Signature, copy of calc</t>
  </si>
  <si>
    <t>Advanced Strategies for Air Distribution and Duct Design</t>
  </si>
  <si>
    <t>Rigid metal supply plenum</t>
  </si>
  <si>
    <t xml:space="preserve">Signature or Inspection </t>
  </si>
  <si>
    <t>Pressure relief pathways (Choose ONE):</t>
  </si>
  <si>
    <t xml:space="preserve">  Air transfer grills or insulated jumper ducts in every bedroom</t>
  </si>
  <si>
    <t>Building Science Corp: Transfer Ducts and Grilles</t>
  </si>
  <si>
    <t xml:space="preserve">  Return-air ducts in every bedroom</t>
  </si>
  <si>
    <t xml:space="preserve">  Rater-measured pressure differential ≤ 3 Pa </t>
  </si>
  <si>
    <t>Room by Room airflow measured and balanced within 20% or 25cfm of design airflow</t>
  </si>
  <si>
    <t>Signature, copy of balance report</t>
  </si>
  <si>
    <t>Energy Star: Air Balancing</t>
  </si>
  <si>
    <t>Ductless Heating/Cooling system- 4 points per 25% of conditioned area by ductless system, 20 points max</t>
  </si>
  <si>
    <t>1-20</t>
  </si>
  <si>
    <t>DOE: Ductless Heating and Cooling</t>
  </si>
  <si>
    <t>DOE: Radiant Floor Heating</t>
  </si>
  <si>
    <t xml:space="preserve">HVAC grading meets ENERGY STAR Grade 1 Standards </t>
  </si>
  <si>
    <t>Inspection, testing</t>
  </si>
  <si>
    <t xml:space="preserve">Fan has an Electronically Commutated (ECM) Motor </t>
  </si>
  <si>
    <t xml:space="preserve">Signature </t>
  </si>
  <si>
    <t>ECM Motor</t>
  </si>
  <si>
    <t>HVAC system(s) with multiple-zone heating and/or cooling control</t>
  </si>
  <si>
    <t>DOE: Heating and Cooling Equipment Selection</t>
  </si>
  <si>
    <t>Multi Stage Compressor (Choose ONE):</t>
  </si>
  <si>
    <t xml:space="preserve">Inspection </t>
  </si>
  <si>
    <t>Smart Thermostat (Choose ONE):</t>
  </si>
  <si>
    <t>DOE: Thermostats</t>
  </si>
  <si>
    <t>High Efficiency Heating Equipment (Choose ONE):</t>
  </si>
  <si>
    <t>g</t>
  </si>
  <si>
    <t>Subtotal for Heating and Cooling (5 Points Required)</t>
  </si>
  <si>
    <t>Appliances</t>
  </si>
  <si>
    <t>Inspection,  Model #</t>
  </si>
  <si>
    <t xml:space="preserve">  Refrigerator is ENERGY STAR labeled</t>
  </si>
  <si>
    <t>ENERGY STAR Refrigerators</t>
  </si>
  <si>
    <t xml:space="preserve">  Total refrigeration uses &lt;550 kWh</t>
  </si>
  <si>
    <t>Dryer is ENERGY STAR labeled</t>
  </si>
  <si>
    <t xml:space="preserve">Inspection         </t>
  </si>
  <si>
    <t>ENERGY STAR Clothes Dryers</t>
  </si>
  <si>
    <t>Water Heater Efficiency (Choose ONE):</t>
  </si>
  <si>
    <t xml:space="preserve">  Gas Water Heater (Tank or Tankless)  (UEF) ≥ 0.79</t>
  </si>
  <si>
    <t>ENERGY STAR: Water Heater Selection</t>
  </si>
  <si>
    <t xml:space="preserve">  Whole-Home Gas Tankless    (UEF) ≥ 0.90</t>
  </si>
  <si>
    <t>DOE: Water Heater Selection</t>
  </si>
  <si>
    <t xml:space="preserve">  Heat Pump Water Heater       (UEF) &lt; 3.0</t>
  </si>
  <si>
    <t xml:space="preserve">  Heat Pump Water Heater       (UEF) ≥ 3.0</t>
  </si>
  <si>
    <t xml:space="preserve">  Solar Water Heater</t>
  </si>
  <si>
    <t>Ground source (geothermal) water heating (Choose ONE):</t>
  </si>
  <si>
    <t xml:space="preserve">  Desuperheater assist provides hot water</t>
  </si>
  <si>
    <t xml:space="preserve">  Geothermal system provides all hot water</t>
  </si>
  <si>
    <t>Energy-efficient hot water distribution system: compact design of conventional system, central manifold distribution system or structured plumbing system.</t>
  </si>
  <si>
    <t xml:space="preserve">DOE: Lighting </t>
  </si>
  <si>
    <t>Indoor Lighting controls: manual wall timers, occupancy or vacancy Sensors. (1 pt per switch, max. 3)</t>
  </si>
  <si>
    <t>1-3</t>
  </si>
  <si>
    <t># switches</t>
  </si>
  <si>
    <t>Switchable Automatic Outdoor Lighting Controls- Motion/Photo Sensors</t>
  </si>
  <si>
    <t>Home automation system design: the basics</t>
  </si>
  <si>
    <t>Renewables</t>
  </si>
  <si>
    <t>Inspection and Signature,
Source Energy and Emissions report with calculations</t>
  </si>
  <si>
    <t>Database of Incentives for Renewable Energy</t>
  </si>
  <si>
    <t xml:space="preserve">  On-site renewable electricity generation</t>
  </si>
  <si>
    <t>1-75</t>
  </si>
  <si>
    <t>NREL: PV Watts Calculator</t>
  </si>
  <si>
    <t xml:space="preserve">Percentage of total annual energy use </t>
  </si>
  <si>
    <t>Active solar thermal heating system provides 2% - 100% of space heating needs</t>
  </si>
  <si>
    <t>1-30</t>
  </si>
  <si>
    <t>Percentage provided by Solar Thermal</t>
  </si>
  <si>
    <t>Inspection and signature,
EPA certification must be available</t>
  </si>
  <si>
    <t>EPA: Burnwise</t>
  </si>
  <si>
    <t>Subtotal for Appliances, Lighting, Renewables (3 Points Required)</t>
  </si>
  <si>
    <t>Copy of documentation indicating compliance</t>
  </si>
  <si>
    <t>Contaminant Control</t>
  </si>
  <si>
    <t>Pressure test results indicating compliance</t>
  </si>
  <si>
    <t>Detached or no garage</t>
  </si>
  <si>
    <t>EPA: Intro to IAQ: Carbon Monoxide</t>
  </si>
  <si>
    <t xml:space="preserve">  MERV 8</t>
  </si>
  <si>
    <t xml:space="preserve">  MERV 11</t>
  </si>
  <si>
    <t xml:space="preserve">  MERV 13 or greater (includes HEPA or "HEPA-like" filters)</t>
  </si>
  <si>
    <t>Inspection and Signature</t>
  </si>
  <si>
    <t xml:space="preserve">  Distributed Ventilation System</t>
  </si>
  <si>
    <t>DOE: Whole House Ventilation Systems</t>
  </si>
  <si>
    <t xml:space="preserve">  High Efficiency ERV/HRV - greater than 1.5 cfm per watt</t>
  </si>
  <si>
    <t>Exhaust fan upgrades in all full baths (credit available for ALL of the following):</t>
  </si>
  <si>
    <t xml:space="preserve">  Install ENERGY STAR labeled fans</t>
  </si>
  <si>
    <t>DOE: Spot Ventilation Strategies</t>
  </si>
  <si>
    <t xml:space="preserve">  Rated less than 1 sone</t>
  </si>
  <si>
    <t xml:space="preserve">  Controlled by timer or occupancy sensor</t>
  </si>
  <si>
    <t xml:space="preserve">  Controlled by humidistat</t>
  </si>
  <si>
    <t xml:space="preserve">  Bath fans located directly above the shower enclosure</t>
  </si>
  <si>
    <t xml:space="preserve">Interior relative humidity monitored and controlled (credit available for ALL of the following): </t>
  </si>
  <si>
    <t xml:space="preserve">  HVAC system with dehumidification mode or controls</t>
  </si>
  <si>
    <t xml:space="preserve">  Dehumidification system installed to serve below grade areas</t>
  </si>
  <si>
    <t xml:space="preserve">  Central dehumidification system installed</t>
  </si>
  <si>
    <t>EPA: Carbon Monoxide Detectors</t>
  </si>
  <si>
    <t>Install CO detector in mechanical equipment area</t>
  </si>
  <si>
    <t>Install a low level CO Monitor near every sleeping area</t>
  </si>
  <si>
    <t>Green Building Advisor: Low Level CO Monitors</t>
  </si>
  <si>
    <t>EPA: Radon Resistant Construction- Basic Techniques</t>
  </si>
  <si>
    <t>IAQ Material Use</t>
  </si>
  <si>
    <t>Inspection, Product Info</t>
  </si>
  <si>
    <t>CARB Compliance Info for Consumers</t>
  </si>
  <si>
    <t>h</t>
  </si>
  <si>
    <t>i</t>
  </si>
  <si>
    <t>j</t>
  </si>
  <si>
    <t>k</t>
  </si>
  <si>
    <t>l</t>
  </si>
  <si>
    <t>m</t>
  </si>
  <si>
    <t>n</t>
  </si>
  <si>
    <t>o</t>
  </si>
  <si>
    <t>VOC dissipation prior to dwelling occupancy</t>
  </si>
  <si>
    <t xml:space="preserve">Signature </t>
  </si>
  <si>
    <t xml:space="preserve">Construction Material Waste </t>
  </si>
  <si>
    <t>Central, organized cutting area for project site</t>
  </si>
  <si>
    <t xml:space="preserve">Signature </t>
  </si>
  <si>
    <t>Framing plan with locations of wall studs, joists, and roof structure with cut list  (applies to site-built and modular framing systems; modular units automatically receive these points)</t>
  </si>
  <si>
    <t>Signature, Inspection</t>
  </si>
  <si>
    <t>OR Total Construction waste reduction/material reuse (Choose ONE):</t>
  </si>
  <si>
    <t>lb/sf construction waste(1 - 8 pts if below 4.2 lb/sf)</t>
  </si>
  <si>
    <t>1-8</t>
  </si>
  <si>
    <t>Calculations, waste tickets</t>
  </si>
  <si>
    <t>Percent of existing structure reused; 1 pt per 10% reuse</t>
  </si>
  <si>
    <t>2-10</t>
  </si>
  <si>
    <t>Durability and Moisture Management</t>
  </si>
  <si>
    <t>Copy provided</t>
  </si>
  <si>
    <t>Capillary break at all wood to concrete connections</t>
  </si>
  <si>
    <t>Sealed crawlspace with greater than 10 mil poly on floor</t>
  </si>
  <si>
    <t>Advanced Energy's Crawlspace Resources</t>
  </si>
  <si>
    <t>Drainage board for below grade walls</t>
  </si>
  <si>
    <t>Continuous foundation drain at outside perimeter edge of footing</t>
  </si>
  <si>
    <t>Provide roof drip edge (metal) at ALL roof edges</t>
  </si>
  <si>
    <t>ORNL Foundation Wall Handbook</t>
  </si>
  <si>
    <t>Final grade slopes 1/2" per ft away from home to 10 ft or a swale</t>
  </si>
  <si>
    <t xml:space="preserve">Covered entryways for all doors opening into conditioned space.  </t>
  </si>
  <si>
    <t>Rain screen or grooved Weather Resistant Barrier behind the exterior veneer on exposed exterior walls (Min. 90%)</t>
  </si>
  <si>
    <t>Green Building Advisor: All about Rainscreens</t>
  </si>
  <si>
    <t>Durable exterior cladding (Chose ONE):</t>
  </si>
  <si>
    <t>Inspection and Signature, 
Product Name</t>
  </si>
  <si>
    <t xml:space="preserve">  30 year warranty (min 65%)</t>
  </si>
  <si>
    <t xml:space="preserve">  50 year warranty (min 65%)</t>
  </si>
  <si>
    <t>Durable roofing (Choose ONE):</t>
  </si>
  <si>
    <t xml:space="preserve">  25 year warranty (min 95%)</t>
  </si>
  <si>
    <t xml:space="preserve">  50 year warranty (min 95%)</t>
  </si>
  <si>
    <t xml:space="preserve">Primed backs, edges, and ends of exterior trim (including field cuts)  </t>
  </si>
  <si>
    <t>Fiber cement or composite wood exterior trim, fascia, soffit (Min 90%)</t>
  </si>
  <si>
    <t>Corrosion resistant rodent/bird screens at all openings &gt;1/4 in.</t>
  </si>
  <si>
    <t xml:space="preserve">All exterior wood at least 12" from the soil </t>
  </si>
  <si>
    <t xml:space="preserve">Signature, type of system </t>
  </si>
  <si>
    <t>Environmentally Preferable Materials</t>
  </si>
  <si>
    <t>Signature, Inspection where visible;
Product literature available upon request</t>
  </si>
  <si>
    <t xml:space="preserve">  Concrete  (25% Fly Ash only)</t>
  </si>
  <si>
    <t xml:space="preserve">  Wall framing members - Interior</t>
  </si>
  <si>
    <t xml:space="preserve">  Wall framing members - Exterior</t>
  </si>
  <si>
    <t xml:space="preserve">  Floor framing members </t>
  </si>
  <si>
    <t xml:space="preserve">  Roof framing members </t>
  </si>
  <si>
    <t xml:space="preserve">  Headers (doors, windows, etc.)</t>
  </si>
  <si>
    <t xml:space="preserve">  Insulation (Min. 50%)</t>
  </si>
  <si>
    <t xml:space="preserve">  Roofing   </t>
  </si>
  <si>
    <t xml:space="preserve">  Siding</t>
  </si>
  <si>
    <t xml:space="preserve">  Doors</t>
  </si>
  <si>
    <t xml:space="preserve">  Closet shelving</t>
  </si>
  <si>
    <t xml:space="preserve">  Kitchen Cabinetry and Casework  </t>
  </si>
  <si>
    <t xml:space="preserve">  Interior Trim  </t>
  </si>
  <si>
    <t xml:space="preserve">  Countertops  </t>
  </si>
  <si>
    <t>p</t>
  </si>
  <si>
    <t xml:space="preserve">  Flooring  (Min. 25%)</t>
  </si>
  <si>
    <t>q</t>
  </si>
  <si>
    <t>r</t>
  </si>
  <si>
    <t xml:space="preserve">  Decking and Outdoor Structures</t>
  </si>
  <si>
    <t>s</t>
  </si>
  <si>
    <t xml:space="preserve">  Other</t>
  </si>
  <si>
    <t>NCSU Center For Universal Design Resources</t>
  </si>
  <si>
    <t>Doors and faucets use lever handles; cabinet handles are 'C' or 'D' style</t>
  </si>
  <si>
    <t>Kitchen Waste Handling (credit available for ALL of the following):</t>
  </si>
  <si>
    <t xml:space="preserve">  Built-in kitchen recycling center </t>
  </si>
  <si>
    <t xml:space="preserve">  Indoor composting system, demonstrated to homeowner</t>
  </si>
  <si>
    <t>Sustainable Building: Home Recycling</t>
  </si>
  <si>
    <t xml:space="preserve">Signature, List of attendees, meeting dates </t>
  </si>
  <si>
    <t>Whole Building Design Guide Approach</t>
  </si>
  <si>
    <t>Include a minimum of three biophilic design architectural elements</t>
  </si>
  <si>
    <t>Inspection, Narrative</t>
  </si>
  <si>
    <t xml:space="preserve"> </t>
  </si>
  <si>
    <t>Receipt</t>
  </si>
  <si>
    <t>Copy of Plans</t>
  </si>
  <si>
    <t>Submit Advocacy letters to suppliers/manufacturers to remove red list chemicals</t>
  </si>
  <si>
    <t>Copy of letters</t>
  </si>
  <si>
    <t>Submit regulatory appeal for use of greywater/rainwater</t>
  </si>
  <si>
    <t>Copy of appeal</t>
  </si>
  <si>
    <t>Market the Green Built program (credit available for ALL of the following):</t>
  </si>
  <si>
    <t>Description of marketing activities, inspection, link to website or copy of ad/article as applicable</t>
  </si>
  <si>
    <t xml:space="preserve">  Green Built pamphlets provided on-site</t>
  </si>
  <si>
    <t xml:space="preserve">  Company website or brochure displays Green Built logo</t>
  </si>
  <si>
    <t xml:space="preserve">  Company website includes a page of educational information about green building including the features and benefits of certification</t>
  </si>
  <si>
    <t xml:space="preserve">  Ad or yard sign displays Green Built logo</t>
  </si>
  <si>
    <t xml:space="preserve">  Make presentation on Green Built to group of 10 or more </t>
  </si>
  <si>
    <t xml:space="preserve">  Participate in a Green Building Tour or Parade of Homes</t>
  </si>
  <si>
    <t>Builder is a Certified Living Wage Employer</t>
  </si>
  <si>
    <t>listed on website</t>
  </si>
  <si>
    <t>NC Climate Zone:</t>
  </si>
  <si>
    <t xml:space="preserve">  List of high performance and green building features (a copy of their final checklist and HERS certificate)</t>
  </si>
  <si>
    <t xml:space="preserve">  Product manufacturer’s manuals or product data sheet for installed major equipment, appliances, and fixtures.</t>
  </si>
  <si>
    <r>
      <t xml:space="preserve">Signature </t>
    </r>
    <r>
      <rPr>
        <u/>
        <sz val="11"/>
        <rFont val="Arial"/>
        <family val="2"/>
      </rPr>
      <t>or</t>
    </r>
    <r>
      <rPr>
        <sz val="11"/>
        <color rgb="FF000000"/>
        <rFont val="Arial"/>
        <family val="2"/>
      </rPr>
      <t xml:space="preserve"> Inspection;  Framing Plan (if not modular)</t>
    </r>
  </si>
  <si>
    <r>
      <t>Alternative termite treatment that uses low toxicity chemicals or eliminates chemical termite treatments</t>
    </r>
    <r>
      <rPr>
        <i/>
        <sz val="11"/>
        <rFont val="Arial"/>
        <family val="2"/>
      </rPr>
      <t xml:space="preserve"> </t>
    </r>
  </si>
  <si>
    <t>Any home with combustion appliances including water heaters, furnaces or appliances:
 • Carbon monoxide (CO) detectors must be installed, one per floor 
•  All gas equipment is sealed combustion, power vented, or located outside the conditioned space (including sealed crawl space). No unvented combustion equipment. (ovens and ranges excluded)</t>
  </si>
  <si>
    <t>Any home with a fireplace (gas or wood burning):
 • Carbon monoxide (CO) detectors must be installed, one in room with fireplaces and one per floor 
 • Gas and wood-burning fireplaces/stoves must have a dedicated outdoor combustion air supply able to withstand flame exposure. Unvented fireplaces are not permitted.
 • Gas fireplaces must have doors or a solid glass enclosure.  Manual dampers on gas fireplaces are not permitted</t>
  </si>
  <si>
    <t>Fence individual trees at drip line</t>
  </si>
  <si>
    <t>Drought Resistant Landscaping Techniques include xeriscaping, mulched areas, forest, meadow, no-mow grass and/or drought tolerant plants (excludes conventional turf). 
(1 point per 10 percent of landscaped area)</t>
  </si>
  <si>
    <t>Energy Efficient Refrigerator (Choose ONE):</t>
  </si>
  <si>
    <t>Filters rated MERV 8 or greater installed on forced air systems; system static pressure must be designed and calculated to perform with the higher efficiency filter installed (Choose ONE):</t>
  </si>
  <si>
    <t xml:space="preserve">   Kitchen/bath cabinetry/casework          </t>
  </si>
  <si>
    <t xml:space="preserve">   Countertops</t>
  </si>
  <si>
    <t xml:space="preserve">   Closet shelving</t>
  </si>
  <si>
    <t xml:space="preserve">   Interior Trim </t>
  </si>
  <si>
    <t xml:space="preserve">   Caulks and Adhesives</t>
  </si>
  <si>
    <t xml:space="preserve">   Interior Paints and Primers Low VOC</t>
  </si>
  <si>
    <t xml:space="preserve">   Interior Paints and Primers Zero VOC</t>
  </si>
  <si>
    <t xml:space="preserve">   Stains, sealants and finishes (other than flooring)</t>
  </si>
  <si>
    <t xml:space="preserve">   Carpet </t>
  </si>
  <si>
    <t xml:space="preserve">   Flooring (including floor stains and finishes)</t>
  </si>
  <si>
    <t xml:space="preserve">   No Carpet in the home</t>
  </si>
  <si>
    <t xml:space="preserve">   Wall Insulation </t>
  </si>
  <si>
    <t xml:space="preserve">   Floor and Ceiling Insulation</t>
  </si>
  <si>
    <t xml:space="preserve">   Interior Doors</t>
  </si>
  <si>
    <t>High Efficiency Cooling Equipment (Choose ONE):</t>
  </si>
  <si>
    <t xml:space="preserve">  At least 50% of the site designated as a National Wildlife Federation Certified Wildlife Habitat </t>
  </si>
  <si>
    <t xml:space="preserve">  Donate land equivalent in size to the disturbed area for conservation to approved local land trust. Financial or volunteer contributions of equitable proportion also acceptable.</t>
  </si>
  <si>
    <t xml:space="preserve">   Pre-plumbed for non-potable use</t>
  </si>
  <si>
    <t xml:space="preserve">   Non-potable use</t>
  </si>
  <si>
    <t xml:space="preserve">   Potable use</t>
  </si>
  <si>
    <t xml:space="preserve">   All hot water pipes in unconditioned spaces insulated to R-3 </t>
  </si>
  <si>
    <t xml:space="preserve">   All water pipes located inside conditioned space (not in exterior walls)</t>
  </si>
  <si>
    <t xml:space="preserve">   All hot water pipes insulated to R-3 </t>
  </si>
  <si>
    <t xml:space="preserve">   ≥ 8.5 HSPF, 92 AFUE Furnace, 90 AFUE Boiler or 3.3 COP</t>
  </si>
  <si>
    <t xml:space="preserve">   ≥ 9.0 HSPF, 94 AFUE Furnace, 94 AFUE Boiler or 3.9 COP</t>
  </si>
  <si>
    <t xml:space="preserve">   ≥ 9.5 HSPF, 96 AFUE Furnace, 96 AFUE Boiler or 4.1 COP</t>
  </si>
  <si>
    <t xml:space="preserve">  Light tubes</t>
  </si>
  <si>
    <t xml:space="preserve">  Clerestory </t>
  </si>
  <si>
    <t xml:space="preserve">  Appliances (1 pt per eligible appliance, max 3)</t>
  </si>
  <si>
    <t xml:space="preserve">  &gt;50% Lighting</t>
  </si>
  <si>
    <t xml:space="preserve">  Wood</t>
  </si>
  <si>
    <t xml:space="preserve">  Cardboard</t>
  </si>
  <si>
    <t xml:space="preserve">  Metal</t>
  </si>
  <si>
    <t xml:space="preserve">  Plastic</t>
  </si>
  <si>
    <t xml:space="preserve">  Drywall</t>
  </si>
  <si>
    <t>Subtotal of points for Bonus (3 Points Required)</t>
  </si>
  <si>
    <t xml:space="preserve">Sq. Ft. (conditioned):    </t>
  </si>
  <si>
    <t>Energy Star HVAC Installation Guidebook</t>
  </si>
  <si>
    <t xml:space="preserve">  Code approved system for outdoor use only</t>
  </si>
  <si>
    <t xml:space="preserve">  Pre-plumbed for outdoor use</t>
  </si>
  <si>
    <t>Inspection, make/model #</t>
  </si>
  <si>
    <t>Attic Improvements (Choose ONE):</t>
  </si>
  <si>
    <t>Ceiling Insulation (Choose ONE):</t>
  </si>
  <si>
    <t>Reuse of greywater (Credit available for ALL of the following):</t>
  </si>
  <si>
    <t>Protection of local wildlife (Credit available for ALL of the following)</t>
  </si>
  <si>
    <t>Access to Bike Paths (Choose ONE):</t>
  </si>
  <si>
    <t>Floor to ceiling insulation (Choose ONE):</t>
  </si>
  <si>
    <t>Wall insulation (Choose ONE):</t>
  </si>
  <si>
    <t>U-Factor (Choose ONE):</t>
  </si>
  <si>
    <t>SHGC (Choose ONE):</t>
  </si>
  <si>
    <t>Piping (Credit available for ANY of the following):</t>
  </si>
  <si>
    <t>Insulated headers (Choose ONE):</t>
  </si>
  <si>
    <t>Floor insulation (Choose ONE):</t>
  </si>
  <si>
    <t>Gutters/downspouts discharge water min.5 feet from foundation (100%)</t>
  </si>
  <si>
    <t xml:space="preserve">Signature and Inspection </t>
  </si>
  <si>
    <t xml:space="preserve">Rain screen or grooved Weather Resistant Barrier behind the roof </t>
  </si>
  <si>
    <r>
      <t xml:space="preserve">Heating &amp; Cooling </t>
    </r>
    <r>
      <rPr>
        <b/>
        <sz val="12"/>
        <color theme="0"/>
        <rFont val="Arial"/>
        <family val="2"/>
      </rPr>
      <t xml:space="preserve"> (Minimum 5 Points Required)</t>
    </r>
  </si>
  <si>
    <r>
      <t xml:space="preserve"> Water </t>
    </r>
    <r>
      <rPr>
        <b/>
        <sz val="12"/>
        <color theme="0"/>
        <rFont val="Arial"/>
        <family val="2"/>
      </rPr>
      <t>(Minimum 5 Points Required)</t>
    </r>
  </si>
  <si>
    <r>
      <t>Prerequisites</t>
    </r>
    <r>
      <rPr>
        <b/>
        <sz val="16"/>
        <color theme="0"/>
        <rFont val="Calibri"/>
        <family val="2"/>
      </rPr>
      <t xml:space="preserve"> (Required)</t>
    </r>
  </si>
  <si>
    <r>
      <t xml:space="preserve"> Bonus </t>
    </r>
    <r>
      <rPr>
        <b/>
        <sz val="12"/>
        <color theme="0"/>
        <rFont val="Arial"/>
        <family val="2"/>
      </rPr>
      <t xml:space="preserve"> (Minimum 3 Points Required)</t>
    </r>
  </si>
  <si>
    <t>EPA: Duct Cleaning</t>
  </si>
  <si>
    <t>Nat. Air Duct Cleaning Association: Proper Cleaning Methods</t>
  </si>
  <si>
    <t>Clean ducts, furnace and filters before occupancy</t>
  </si>
  <si>
    <t>Health and Indoor Air Quality (5 Pts Req.)</t>
  </si>
  <si>
    <r>
      <t xml:space="preserve"> Health &amp; Indoor Air Quality </t>
    </r>
    <r>
      <rPr>
        <b/>
        <sz val="12"/>
        <color theme="0"/>
        <rFont val="Arial"/>
        <family val="2"/>
      </rPr>
      <t>(Min. 5 Points Req.)</t>
    </r>
  </si>
  <si>
    <t>Subtotal for Health &amp; Indoor Air Quality (5 Points Required)</t>
  </si>
  <si>
    <t>Environmentally Preferable Materials (credit available for ALL of the following):  Rapidly Renewable, Engineered, Third Party Certified Wood, Recycled Content, Locally Produced, Low Embodied Energy, Salvaged Materials:</t>
  </si>
  <si>
    <t xml:space="preserve">   Sheathing</t>
  </si>
  <si>
    <t xml:space="preserve">   Plumbing</t>
  </si>
  <si>
    <t>Signature or Inspection</t>
  </si>
  <si>
    <t>Plug-In NC EV Ready Home Builders Guide</t>
  </si>
  <si>
    <t>Plug-In NC Residential Handbook</t>
  </si>
  <si>
    <t xml:space="preserve">   Level 2 Outlet installed in parking area</t>
  </si>
  <si>
    <t xml:space="preserve">   Pre-wired: 240v compatible wiring to plate in parking area</t>
  </si>
  <si>
    <t>Electric Vehicle Charging (Choose ONE):</t>
  </si>
  <si>
    <t>Integrated Project Management: conduct a preliminary meeting with the key members of the project team as early as practical.  Complete a Green Built Checklist indicating the credit items being targeted, and listing the team member responsible for providing the required documentation for each credit.</t>
  </si>
  <si>
    <t>Include Green Built Homes checklist items in project drawings and specifications as applicable</t>
  </si>
  <si>
    <r>
      <rPr>
        <b/>
        <sz val="10"/>
        <rFont val="Arial"/>
        <family val="2"/>
      </rPr>
      <t>Columns for the Project use</t>
    </r>
    <r>
      <rPr>
        <sz val="10"/>
        <rFont val="Arial"/>
        <family val="2"/>
      </rPr>
      <t xml:space="preserve"> - Begin by selecting which opportunities the project will fulfill to achieve certification. To mark these opportunities, the User should enter “</t>
    </r>
    <r>
      <rPr>
        <b/>
        <sz val="10"/>
        <rFont val="Arial"/>
        <family val="2"/>
      </rPr>
      <t>Y</t>
    </r>
    <r>
      <rPr>
        <sz val="10"/>
        <rFont val="Arial"/>
        <family val="2"/>
      </rPr>
      <t xml:space="preserve">" (for </t>
    </r>
    <r>
      <rPr>
        <b/>
        <sz val="10"/>
        <rFont val="Arial"/>
        <family val="2"/>
      </rPr>
      <t>Y</t>
    </r>
    <r>
      <rPr>
        <sz val="10"/>
        <rFont val="Arial"/>
        <family val="2"/>
      </rPr>
      <t xml:space="preserve">es) in the </t>
    </r>
    <r>
      <rPr>
        <b/>
        <sz val="10"/>
        <rFont val="Arial"/>
        <family val="2"/>
      </rPr>
      <t>Y</t>
    </r>
    <r>
      <rPr>
        <sz val="10"/>
        <rFont val="Arial"/>
        <family val="2"/>
      </rPr>
      <t xml:space="preserve"> column, or "</t>
    </r>
    <r>
      <rPr>
        <b/>
        <sz val="10"/>
        <rFont val="Arial"/>
        <family val="2"/>
      </rPr>
      <t>M</t>
    </r>
    <r>
      <rPr>
        <sz val="10"/>
        <rFont val="Arial"/>
        <family val="2"/>
      </rPr>
      <t xml:space="preserve">" (for </t>
    </r>
    <r>
      <rPr>
        <b/>
        <sz val="10"/>
        <rFont val="Arial"/>
        <family val="2"/>
      </rPr>
      <t>M</t>
    </r>
    <r>
      <rPr>
        <sz val="10"/>
        <rFont val="Arial"/>
        <family val="2"/>
      </rPr>
      <t xml:space="preserve">aybe) in the </t>
    </r>
    <r>
      <rPr>
        <b/>
        <sz val="10"/>
        <rFont val="Arial"/>
        <family val="2"/>
      </rPr>
      <t>M</t>
    </r>
    <r>
      <rPr>
        <sz val="10"/>
        <rFont val="Arial"/>
        <family val="2"/>
      </rPr>
      <t xml:space="preserve"> column.  “</t>
    </r>
    <r>
      <rPr>
        <b/>
        <sz val="10"/>
        <rFont val="Arial"/>
        <family val="2"/>
      </rPr>
      <t>Y</t>
    </r>
    <r>
      <rPr>
        <sz val="10"/>
        <rFont val="Arial"/>
        <family val="2"/>
      </rPr>
      <t>” is used for items that will be completed for the project, and “</t>
    </r>
    <r>
      <rPr>
        <b/>
        <sz val="10"/>
        <rFont val="Arial"/>
        <family val="2"/>
      </rPr>
      <t>M</t>
    </r>
    <r>
      <rPr>
        <sz val="10"/>
        <rFont val="Arial"/>
        <family val="2"/>
      </rPr>
      <t>” is used for items that are under consideration by the project team.  Items not being considered may be left blank.  It is important that the User select enough "</t>
    </r>
    <r>
      <rPr>
        <b/>
        <sz val="10"/>
        <rFont val="Arial"/>
        <family val="2"/>
      </rPr>
      <t>Y</t>
    </r>
    <r>
      <rPr>
        <sz val="10"/>
        <rFont val="Arial"/>
        <family val="2"/>
      </rPr>
      <t xml:space="preserve">" items in each Opportunities Section (ex: "Site Opportunities") to meet the minimum number of points for that section.  The </t>
    </r>
    <r>
      <rPr>
        <b/>
        <sz val="10"/>
        <rFont val="Arial"/>
        <family val="2"/>
      </rPr>
      <t xml:space="preserve">P and N </t>
    </r>
    <r>
      <rPr>
        <sz val="10"/>
        <rFont val="Arial"/>
        <family val="2"/>
      </rPr>
      <t>columns are for Rater use only (see D below).</t>
    </r>
  </si>
  <si>
    <r>
      <rPr>
        <b/>
        <sz val="10"/>
        <rFont val="Arial"/>
        <family val="2"/>
      </rPr>
      <t>PROJECT SCORE CARD</t>
    </r>
    <r>
      <rPr>
        <sz val="10"/>
        <rFont val="Arial"/>
        <family val="2"/>
      </rPr>
      <t xml:space="preserve"> (page 2) - The User can use the PROJECT SCORE CARD to track the point totals for the project.  The PROJECT SCORE CARD automatically tallies the points of the opportunities that are complete, or marked with a "</t>
    </r>
    <r>
      <rPr>
        <b/>
        <sz val="10"/>
        <rFont val="Arial"/>
        <family val="2"/>
      </rPr>
      <t>Y</t>
    </r>
    <r>
      <rPr>
        <sz val="10"/>
        <rFont val="Arial"/>
        <family val="2"/>
      </rPr>
      <t>" or "</t>
    </r>
    <r>
      <rPr>
        <b/>
        <sz val="10"/>
        <rFont val="Arial"/>
        <family val="2"/>
      </rPr>
      <t>M</t>
    </r>
    <r>
      <rPr>
        <sz val="10"/>
        <rFont val="Arial"/>
        <family val="2"/>
      </rPr>
      <t>."</t>
    </r>
  </si>
  <si>
    <r>
      <rPr>
        <b/>
        <sz val="10"/>
        <rFont val="Arial"/>
        <family val="2"/>
      </rPr>
      <t xml:space="preserve">Columns for the approved Rater </t>
    </r>
    <r>
      <rPr>
        <sz val="10"/>
        <rFont val="Arial"/>
        <family val="2"/>
      </rPr>
      <t>(pages 4 - 19) - the Rater completes his/her review of the project by entering “</t>
    </r>
    <r>
      <rPr>
        <b/>
        <sz val="10"/>
        <rFont val="Arial"/>
        <family val="2"/>
      </rPr>
      <t>P</t>
    </r>
    <r>
      <rPr>
        <sz val="10"/>
        <rFont val="Arial"/>
        <family val="2"/>
      </rPr>
      <t xml:space="preserve">” (for </t>
    </r>
    <r>
      <rPr>
        <b/>
        <sz val="10"/>
        <rFont val="Arial"/>
        <family val="2"/>
      </rPr>
      <t>P</t>
    </r>
    <r>
      <rPr>
        <sz val="10"/>
        <rFont val="Arial"/>
        <family val="2"/>
      </rPr>
      <t xml:space="preserve">assing) in the </t>
    </r>
    <r>
      <rPr>
        <b/>
        <sz val="10"/>
        <rFont val="Arial"/>
        <family val="2"/>
      </rPr>
      <t>P</t>
    </r>
    <r>
      <rPr>
        <sz val="10"/>
        <rFont val="Arial"/>
        <family val="2"/>
      </rPr>
      <t xml:space="preserve"> column, or “</t>
    </r>
    <r>
      <rPr>
        <b/>
        <sz val="10"/>
        <rFont val="Arial"/>
        <family val="2"/>
      </rPr>
      <t>N</t>
    </r>
    <r>
      <rPr>
        <sz val="10"/>
        <rFont val="Arial"/>
        <family val="2"/>
      </rPr>
      <t xml:space="preserve">” (for </t>
    </r>
    <r>
      <rPr>
        <b/>
        <sz val="10"/>
        <rFont val="Arial"/>
        <family val="2"/>
      </rPr>
      <t>N</t>
    </r>
    <r>
      <rPr>
        <sz val="10"/>
        <rFont val="Arial"/>
        <family val="2"/>
      </rPr>
      <t xml:space="preserve">ot passing) in the </t>
    </r>
    <r>
      <rPr>
        <b/>
        <sz val="10"/>
        <rFont val="Arial"/>
        <family val="2"/>
      </rPr>
      <t>N</t>
    </r>
    <r>
      <rPr>
        <sz val="10"/>
        <rFont val="Arial"/>
        <family val="2"/>
      </rPr>
      <t xml:space="preserve"> column. The </t>
    </r>
    <r>
      <rPr>
        <b/>
        <sz val="10"/>
        <rFont val="Arial"/>
        <family val="2"/>
      </rPr>
      <t xml:space="preserve">Notes / Dates / Initials </t>
    </r>
    <r>
      <rPr>
        <sz val="10"/>
        <rFont val="Arial"/>
        <family val="2"/>
      </rPr>
      <t xml:space="preserve"> column is used for Rater sign-off, and details related to that opportunity. </t>
    </r>
  </si>
  <si>
    <r>
      <t xml:space="preserve">Documentation </t>
    </r>
    <r>
      <rPr>
        <sz val="10"/>
        <rFont val="Arial"/>
        <family val="2"/>
      </rPr>
      <t>should be submitted to the RATER (described in item 3 below).</t>
    </r>
  </si>
  <si>
    <r>
      <t>Providing a</t>
    </r>
    <r>
      <rPr>
        <b/>
        <sz val="10"/>
        <rFont val="Arial"/>
        <family val="2"/>
      </rPr>
      <t xml:space="preserve"> "Signature" </t>
    </r>
    <r>
      <rPr>
        <sz val="10"/>
        <rFont val="Arial"/>
        <family val="2"/>
      </rPr>
      <t xml:space="preserve">by a Responsible Party as documentation for a checklist item indicates that the party whose initials appear in the notes column, and whose corresponding full name is listed on page 1, is accepting responsibility that the item has been completed in full and that all reasonable care has been taken to meet the stated intent of that checklist item. The Responsible Party has verbally verified to the Rater that the checklist item has been completed.  </t>
    </r>
    <r>
      <rPr>
        <u/>
        <sz val="10"/>
        <rFont val="Arial"/>
        <family val="2"/>
      </rPr>
      <t>Photographic documentation will be accepted for signature items if the photo clearly indicates item implementation / completion</t>
    </r>
    <r>
      <rPr>
        <sz val="10"/>
        <rFont val="Arial"/>
        <family val="2"/>
      </rPr>
      <t>.</t>
    </r>
  </si>
  <si>
    <r>
      <t>An</t>
    </r>
    <r>
      <rPr>
        <b/>
        <sz val="10"/>
        <rFont val="Arial"/>
        <family val="2"/>
      </rPr>
      <t xml:space="preserve"> "Inspection"</t>
    </r>
    <r>
      <rPr>
        <sz val="10"/>
        <rFont val="Arial"/>
        <family val="2"/>
      </rPr>
      <t xml:space="preserve"> indicates that the item has been verified by the Rater. Completed checklists require the signature (or initials) of the Rater next to each item requiring an inspection. </t>
    </r>
    <r>
      <rPr>
        <b/>
        <sz val="10"/>
        <rFont val="Arial"/>
        <family val="2"/>
      </rPr>
      <t xml:space="preserve"> Photographic documentation</t>
    </r>
    <r>
      <rPr>
        <sz val="10"/>
        <rFont val="Arial"/>
        <family val="2"/>
      </rPr>
      <t xml:space="preserve"> will be accepted for inspection items at the discretion of the Rater if the photo clearly indicates item implementation / completion .</t>
    </r>
  </si>
  <si>
    <r>
      <rPr>
        <b/>
        <sz val="10"/>
        <rFont val="Arial"/>
        <family val="2"/>
      </rPr>
      <t>Disclaimer:</t>
    </r>
    <r>
      <rPr>
        <sz val="10"/>
        <rFont val="Arial"/>
        <family val="2"/>
      </rPr>
      <t xml:space="preserve">  The Green Built program, its representatives, and approved Raters (see item 2b above) are only responsible for verifying Checklist requirements have been implemented.  Verification </t>
    </r>
    <r>
      <rPr>
        <b/>
        <sz val="10"/>
        <rFont val="Arial"/>
        <family val="2"/>
      </rPr>
      <t>should not be considered a warranty</t>
    </r>
    <r>
      <rPr>
        <sz val="10"/>
        <rFont val="Arial"/>
        <family val="2"/>
      </rPr>
      <t xml:space="preserve"> (express or implied) as to the quality or appropriateness of the selected feature or installation.</t>
    </r>
  </si>
  <si>
    <r>
      <rPr>
        <sz val="10"/>
        <rFont val="Arial"/>
        <family val="2"/>
      </rPr>
      <t>All</t>
    </r>
    <r>
      <rPr>
        <b/>
        <sz val="10"/>
        <rFont val="Arial"/>
        <family val="2"/>
      </rPr>
      <t xml:space="preserve"> final measurements and calculations </t>
    </r>
    <r>
      <rPr>
        <sz val="10"/>
        <rFont val="Arial"/>
        <family val="2"/>
      </rPr>
      <t xml:space="preserve">are subject to a 2% deviation allowance (5% for Blower Door and Duct Blaster measurements). </t>
    </r>
  </si>
  <si>
    <t xml:space="preserve">  Green Built Alliance homeowner resource link provided</t>
  </si>
  <si>
    <r>
      <t xml:space="preserve">Seal all ductwork joints and penetrations with low toxic mastic (aerosolized sealant allowed for existing homes).  Test all air distribution systems (at 25 Pascals measured in CFM of leakage per conditioned square footage) to have no more than 4% leakage to the outside </t>
    </r>
    <r>
      <rPr>
        <u/>
        <sz val="10"/>
        <rFont val="Arial"/>
        <family val="2"/>
      </rPr>
      <t>and</t>
    </r>
    <r>
      <rPr>
        <sz val="10"/>
        <color rgb="FF000000"/>
        <rFont val="Arial"/>
        <family val="2"/>
      </rPr>
      <t xml:space="preserve"> no more than 8% total leakage (12% if &gt;3 returns per system) at final inspection OR rough-in testing of less than 4% total leakage if all ducts are in conditioned space </t>
    </r>
  </si>
  <si>
    <t>Number of trees (1 point per tree, max 4)</t>
  </si>
  <si>
    <t>1-4</t>
  </si>
  <si>
    <t xml:space="preserve">  Average .29 or less</t>
  </si>
  <si>
    <t xml:space="preserve">  Pre-schedule an evaluation by a certified Healthy Homes Evaluator for 6 months after occupancy</t>
  </si>
  <si>
    <t>CFLs or LEDs installed in 75% of lamps in permanently installed lighting fixtures.</t>
  </si>
  <si>
    <t xml:space="preserve">    &gt;90% of lamps in lighting fixtures are CFLs or LEDs</t>
  </si>
  <si>
    <t xml:space="preserve">    100% of lamps in lighting fixtures are LEDs</t>
  </si>
  <si>
    <t xml:space="preserve">  ≤ 1.8 gpm flow rate</t>
  </si>
  <si>
    <t xml:space="preserve">  ≤ 1.5 gpm flow rate</t>
  </si>
  <si>
    <t>We are here to help you achieve a Green Built Home. Contact Info@GreenBuilt.org or call 828-254-1995 with questions</t>
  </si>
  <si>
    <r>
      <rPr>
        <b/>
        <sz val="10"/>
        <rFont val="Arial"/>
        <family val="2"/>
      </rPr>
      <t>Raters</t>
    </r>
    <r>
      <rPr>
        <sz val="10"/>
        <rFont val="Arial"/>
        <family val="2"/>
      </rPr>
      <t xml:space="preserve"> are pre-authorized individuals that provide the required third party inspections on registered Green Built Homes. Raters submit the Checklist and requested documentation to the Green Built Alliance once they have verified that a house has met all of the requirements for receiving a certificate from the Green Built Homes program.  For a list of Raters, contact the Green Built Alliance or visit </t>
    </r>
    <r>
      <rPr>
        <u/>
        <sz val="10"/>
        <rFont val="Arial"/>
        <family val="2"/>
      </rPr>
      <t>www.GreenBuilt.org</t>
    </r>
    <r>
      <rPr>
        <sz val="10"/>
        <rFont val="Arial"/>
        <family val="2"/>
      </rPr>
      <t xml:space="preserve">. </t>
    </r>
  </si>
  <si>
    <t xml:space="preserve">   Level 1 Outlet accessible to parking area</t>
  </si>
  <si>
    <t>Percent Stormwater Control Systems</t>
  </si>
  <si>
    <t># Eligible Appliances</t>
  </si>
  <si>
    <t>SEER  (15 SEER and Above)</t>
  </si>
  <si>
    <t>EER    (14 EER and Above)</t>
  </si>
  <si>
    <t>8-14</t>
  </si>
  <si>
    <t>Jobsite recycling- 75% diversion rate per component achieved (Credit available for ALL of the following):</t>
  </si>
  <si>
    <t>BPI Healthy Home Evaluator</t>
  </si>
  <si>
    <t xml:space="preserve">Rainwater system designed to capture enough rainwater to provide 100% of outdoor and indoor water needs  (may be in conjunction with other methods). </t>
  </si>
  <si>
    <t xml:space="preserve">  Code approved system for  toilet flushing</t>
  </si>
  <si>
    <t>Signature, Inspection where visible</t>
  </si>
  <si>
    <t>Protect all ducts and returns with a durable covering (floors and ceilings)</t>
  </si>
  <si>
    <r>
      <t>Low-emitting/ Low Toxic Products</t>
    </r>
    <r>
      <rPr>
        <sz val="9"/>
        <rFont val="Arial"/>
        <family val="2"/>
      </rPr>
      <t xml:space="preserve"> (Credit available for ANY of the following):</t>
    </r>
  </si>
  <si>
    <t>t</t>
  </si>
  <si>
    <t xml:space="preserve">   Furnishings (Min. 3 pieces)</t>
  </si>
  <si>
    <t xml:space="preserve">  Furnishings (Min. 3 pieces)</t>
  </si>
  <si>
    <t>Inspection,
Documentation of flow rate &amp; fresh air delivery schedule</t>
  </si>
  <si>
    <t xml:space="preserve">  Bike Paths within 1 mile or bikescore &gt;20</t>
  </si>
  <si>
    <t xml:space="preserve">  Bike Path/Lanes within 1 mile that connects to business district 
or bikescore &gt; 40</t>
  </si>
  <si>
    <t xml:space="preserve">  Permaculture Landscape Installed (must be designed by certified
Permaculturist)</t>
  </si>
  <si>
    <t xml:space="preserve">   2 Stage</t>
  </si>
  <si>
    <t xml:space="preserve">   ≥ 2 or Variable Stage</t>
  </si>
  <si>
    <t xml:space="preserve">  Programmable</t>
  </si>
  <si>
    <t xml:space="preserve">  Flooring  (Min. 75%, should be awarded in addition to "p" )</t>
  </si>
  <si>
    <t xml:space="preserve">  Insulation (Min. 100%, should be awarded in addition to "g")</t>
  </si>
  <si>
    <t>EPA's Radon Standards of Practice/AARST ANSI Standards</t>
  </si>
  <si>
    <t>For homes in Radon Zone 1, follow the Radon Standards of Practice/AARST ANSI Standard for radon resistant construction and perform a passive test OR have an active radon test done by a Certified Radon Measurement Professional.  For homes in Radon Zone 2-3, or Homes on vented crawlspaces a passive test is required. The home must not exceed 4.0 pCi/L. Homes that are fully on stilts are exempt from the testing requirement.</t>
  </si>
  <si>
    <t>homeowner education written more for MF?</t>
  </si>
  <si>
    <t>maybe do allow this w/ more points?</t>
  </si>
  <si>
    <t>Building orientation allows solar heating (long dimension faces within 15 degrees East or West of solar south)</t>
  </si>
  <si>
    <t>Multifamily (for projects larger than duplexes or triplexes, or any residential project permitted under the NC Commercial code.)</t>
  </si>
  <si>
    <t>I guess there is some inherent greenness to doing multifamily at all vs single family.</t>
  </si>
  <si>
    <t>development includes a community garden and written plan for garden maintenance/upkeep</t>
  </si>
  <si>
    <t xml:space="preserve">  Bear Prevention (all of the following): Provide a bear proof garbage enclosure or bear proof garbage containers, round door knobs on exterior doors, no edible plants located adjacent to entry ways</t>
  </si>
  <si>
    <r>
      <t xml:space="preserve">  Zone3=R-</t>
    </r>
    <r>
      <rPr>
        <sz val="10"/>
        <color theme="1"/>
        <rFont val="Arial"/>
        <family val="2"/>
      </rPr>
      <t>10</t>
    </r>
    <r>
      <rPr>
        <sz val="10"/>
        <rFont val="Arial"/>
        <family val="2"/>
      </rPr>
      <t>, Zone4/5=R-15</t>
    </r>
  </si>
  <si>
    <t xml:space="preserve">  Balanced Ventilation System</t>
  </si>
  <si>
    <t xml:space="preserve">  Zone3=R5 Zone4/5=R-10</t>
  </si>
  <si>
    <t xml:space="preserve">  Vented attic insulation Zone3=R-42, Zone4/5=R-49 w/raised heel</t>
  </si>
  <si>
    <t xml:space="preserve">  Spray foam at roof deck: Zone3=R-25, Zone4/5=R-30</t>
  </si>
  <si>
    <t>copy of ASRHAE model or COMCHECK report</t>
  </si>
  <si>
    <t xml:space="preserve">  ≥ 13 HSPF </t>
  </si>
  <si>
    <t xml:space="preserve">Install and test exhaust fans vented to the outside to meet ASHRAE 62.2 compliant flow rates:  Baths with showers TESTED to exhaust 50 CFM intermittent or 20 CFM continuous. Continuous bath fans must be ENERGY STAR Labeled. • Kitchen exhaust 100 CFM, minimum (hood or downdraft), or comply with ASHRAE Standard 62.2. </t>
  </si>
  <si>
    <t xml:space="preserve">If there is a domestic hot water recirculating loop, insulate loop piping to min. R-3 and install a pump control based on one of the following: temperature sensor, occupancy sensor, demand button.  Timers may not be used to meet the control requirement.  </t>
  </si>
  <si>
    <t>project has at least 30 dwelling units per acre</t>
  </si>
  <si>
    <t>Percent Vegetated Roof Area</t>
  </si>
  <si>
    <t>The remaining points apply to all project types, regardless of local stormwater regulations:</t>
  </si>
  <si>
    <t>Project contains a minimum of 20% affordable housing units (&lt;80% AMI)</t>
  </si>
  <si>
    <t xml:space="preserve"> Install rain gardens, bio-retention basins and/or infiltration strips</t>
  </si>
  <si>
    <t xml:space="preserve"> Use permeable materials for 50% of parking areas</t>
  </si>
  <si>
    <t>4</t>
  </si>
  <si>
    <t>Inspection, Copy of Calculations/Engineering</t>
  </si>
  <si>
    <t>Inspection, copy of maintenance plan</t>
  </si>
  <si>
    <t>Projects that ARE already required by NCDEQ to control stormwater may claim points under 3 for enhanced stormwater designs:</t>
  </si>
  <si>
    <t xml:space="preserve">Project adds a public sidewalk that was not previously present </t>
  </si>
  <si>
    <t>build on an infill site</t>
  </si>
  <si>
    <t>Community Green Space (choose ONE)</t>
  </si>
  <si>
    <t>Percentage of the dwelling unit</t>
  </si>
  <si>
    <t>Ductless systems can earn points under #16</t>
  </si>
  <si>
    <t>Ducted systems can earn points under 9-15</t>
  </si>
  <si>
    <t>Project complies with the WELL Building Standard</t>
  </si>
  <si>
    <t>Embodied Carbon</t>
  </si>
  <si>
    <t>Copy of Calculations</t>
  </si>
  <si>
    <t>Urban heat island reduction (choose ONE of the following)</t>
  </si>
  <si>
    <t>&gt;90% of paving and hardscape materials have a solar reflectance of at least 0.33</t>
  </si>
  <si>
    <t>build on a previously developed or rehabilitated site</t>
  </si>
  <si>
    <t>solar reflectance docs, copy of shading calculations</t>
  </si>
  <si>
    <t>Increased energy efficiency (Choose ONE of the following)</t>
  </si>
  <si>
    <t>(enter HERS score here)</t>
  </si>
  <si>
    <t>(enter % improvement over 2018 baseline here)</t>
  </si>
  <si>
    <t>Project provides affordable housing (choose ONE of the following):</t>
  </si>
  <si>
    <t>Heating and Cooling Equipment--All System and Distribution Types</t>
  </si>
  <si>
    <t>Distribution Systems</t>
  </si>
  <si>
    <t>Clothes drying efficiency (choose ONE):</t>
  </si>
  <si>
    <t>Outdoor clothesline installed</t>
  </si>
  <si>
    <t>use permeable pavers for 80% of parking areas, walkways, and patios</t>
  </si>
  <si>
    <t>2</t>
  </si>
  <si>
    <t>Calculate the average indoor water use of all units using the HERS H2O, WERS, or other equivalent calculation tool</t>
  </si>
  <si>
    <t>Calculate the outdoor water needs of the project using the EPA Water Sense water budget tool</t>
  </si>
  <si>
    <t>Rainwater harvesting (can have one from a-b and one from c-e)</t>
  </si>
  <si>
    <t>sized and plumbed for any indoor non-potable use (toilet flushing, etc)</t>
  </si>
  <si>
    <t>sized and plumbed for 50-99% of indoor water use</t>
  </si>
  <si>
    <t>Inspection, sizing calculation</t>
  </si>
  <si>
    <t>Foundation Systems - Limit TWO per building (homes with only one foundation type: see comment box)</t>
  </si>
  <si>
    <t xml:space="preserve">  Total Leakage of &lt; 4% of all units' heated square footage at final or      &lt; 2% at rough-in    </t>
  </si>
  <si>
    <t xml:space="preserve">  Total Leakage of &lt; 3% of all units' heated square footage at final or    &lt; 1% at rough-in</t>
  </si>
  <si>
    <t>Duct systems sized, designed, and installed in accordance with latest ANSI/ACCA Manual D or equivalent calculation using approved software</t>
  </si>
  <si>
    <t>Any wood stoves, fireplaces, or pellet stoves are EPA Phase II certified, sealed combustion, with outside air intake and gasketed doors</t>
  </si>
  <si>
    <t>Recycling center in common area</t>
  </si>
  <si>
    <t xml:space="preserve">  Publish newspaper or magazine article on the project, mentioning GBH certification</t>
  </si>
  <si>
    <t>Air handler located within thermal envelope</t>
  </si>
  <si>
    <t>Battery back up installed for renewable energy system</t>
  </si>
  <si>
    <t>Third party verification that whole unit ventilation system falls within 95-120% of ASHRAE 62.2 2010 or 2013 requirements</t>
  </si>
  <si>
    <t xml:space="preserve">Install an ASHRAE 62.2 2010 or 2013 compliant mechanical ventilation system. </t>
  </si>
  <si>
    <t>Electrical panels, thermostats, breaker boxes, and any control panels are located on the main floor of the apartment,  (max. 54" to top)</t>
  </si>
  <si>
    <r>
      <t xml:space="preserve">GREEN BUILT HOMES MF
</t>
    </r>
    <r>
      <rPr>
        <b/>
        <i/>
        <sz val="18"/>
        <color theme="9" tint="-0.499984740745262"/>
        <rFont val="Times New Roman"/>
        <family val="1"/>
      </rPr>
      <t>A Program of the Green Built Alliance</t>
    </r>
  </si>
  <si>
    <t>Only projects that are not already required by NCDEQ to control stormwater may claim points under 1 OR 2:</t>
  </si>
  <si>
    <t>Install permanent stormwater controls (Credit available for ALL a-d)</t>
  </si>
  <si>
    <t>vegetated roof on at least 50% of total roof area</t>
  </si>
  <si>
    <t>Enhanced permanent stormwater controls (points available for ALL of the following a-d):</t>
  </si>
  <si>
    <t>Installed stormwater control features are landscaped with native, drought tolerant plants and include a maintenance plan in building ownership/contract documents</t>
  </si>
  <si>
    <t>project has at least 20 dwelling units per acre</t>
  </si>
  <si>
    <t>Inspection, upkeep plan</t>
  </si>
  <si>
    <t>sized for 25-50% of projected outdoor water use</t>
  </si>
  <si>
    <t>sized for 51-100% of projected outdoor water use</t>
  </si>
  <si>
    <t>Enhanced energy efficiency certification (choose ONE of the following)</t>
  </si>
  <si>
    <t>Calculate the embodied carbon using the EC3 tool, WARM tool, BEAM, or other approved calculation tool.</t>
  </si>
  <si>
    <t>TBD</t>
  </si>
  <si>
    <t>WaterSense labeled /1.28 gpf</t>
  </si>
  <si>
    <t>Dual flush: 1.6/0.8 - 1.1 gpf</t>
  </si>
  <si>
    <t>Project documents</t>
  </si>
  <si>
    <t xml:space="preserve">City of Asheville Land  Use Incentive Grant </t>
  </si>
  <si>
    <t>Site (7 Pts Req.)</t>
  </si>
  <si>
    <r>
      <t xml:space="preserve"> Site </t>
    </r>
    <r>
      <rPr>
        <b/>
        <sz val="12"/>
        <color theme="0"/>
        <rFont val="Arial"/>
        <family val="2"/>
      </rPr>
      <t>(Minimum 7 Points Required)</t>
    </r>
  </si>
  <si>
    <t>Subtotal for Site (7 Points Required)</t>
  </si>
  <si>
    <t xml:space="preserve">  R-10 continuous</t>
  </si>
  <si>
    <t xml:space="preserve">  R-12 continuous</t>
  </si>
  <si>
    <t>Metal Building or Metal Framed walls</t>
  </si>
  <si>
    <t>Metal Building or Metal Framed Wall Insulation (Choose ONE):</t>
  </si>
  <si>
    <t>Alternative Wall Construction: SIPS, ICF, Mass Walls, Other</t>
  </si>
  <si>
    <t>Metal framed building, all Zones: R13 cavity plus R7.5 continuous</t>
  </si>
  <si>
    <t>Sold metal building all Zones: R30 continuous</t>
  </si>
  <si>
    <t>Metal framed buildings all Zones: R13 cavity plus R13 continuous</t>
  </si>
  <si>
    <t>Solid metal building, all Zones: R19 continuous OR R13 cavity plus R13 continuous</t>
  </si>
  <si>
    <t>Doors separating conditioned and unconditioned spaces have average U-factor 0.45 or better</t>
  </si>
  <si>
    <t>Subtotal for Building Envelope (7 Points Required)</t>
  </si>
  <si>
    <t>Building Envelope (7 Pts Req.)</t>
  </si>
  <si>
    <t xml:space="preserve">Whole-unit or whole-building energy monitoring system installed </t>
  </si>
  <si>
    <r>
      <t>Automation system to manage</t>
    </r>
    <r>
      <rPr>
        <sz val="10"/>
        <color rgb="FF000000"/>
        <rFont val="Arial"/>
        <family val="2"/>
      </rPr>
      <t xml:space="preserve"> (Credit available for ALL of the following):</t>
    </r>
  </si>
  <si>
    <t>Make the building Solar Ready by providing a design for future solar from a solar installer/designer</t>
  </si>
  <si>
    <t>Kitchen sink with knee space, and stove top with controls at the front and knee space underneath (or removable cabinet beside or below the stove top)</t>
  </si>
  <si>
    <t>Enhanced Universal Design: 50% or more of units include the following additional universal design criteria (credit for ALL of the following):</t>
  </si>
  <si>
    <t>Kitchen cabinets and storage shelves between 18"-48" from the floor (min. 50% by volume)</t>
  </si>
  <si>
    <t>All mature landscaping at least 18" from the building</t>
  </si>
  <si>
    <t>Subtotal of points for Materials (11 Points Required)</t>
  </si>
  <si>
    <t>Materials (11 Pts Req.)</t>
  </si>
  <si>
    <t>Minimum total points needed to become a Green Built Home MF is 73</t>
  </si>
  <si>
    <r>
      <rPr>
        <b/>
        <u/>
        <sz val="11"/>
        <rFont val="Arial"/>
        <family val="2"/>
      </rPr>
      <t xml:space="preserve">Rating Scale
</t>
    </r>
    <r>
      <rPr>
        <b/>
        <sz val="11"/>
        <color rgb="FF000000"/>
        <rFont val="Arial"/>
        <family val="2"/>
      </rPr>
      <t>73-148 points: Certified Level
149-213 points: Silver Level
214-278 points: Gold Level
278+ points: Platinum Level</t>
    </r>
  </si>
  <si>
    <t>Project contains &gt;20% affordable housing units (&lt;80% AMI) AND 25% are affordable to low-moderate income (under 60% AMI)</t>
  </si>
  <si>
    <r>
      <t xml:space="preserve">Building Envelope </t>
    </r>
    <r>
      <rPr>
        <b/>
        <sz val="12"/>
        <color theme="0"/>
        <rFont val="Arial"/>
        <family val="2"/>
      </rPr>
      <t>(Minimum 7 Points Required)</t>
    </r>
  </si>
  <si>
    <r>
      <t xml:space="preserve"> Materials </t>
    </r>
    <r>
      <rPr>
        <b/>
        <sz val="12"/>
        <color theme="0"/>
        <rFont val="Arial"/>
        <family val="2"/>
      </rPr>
      <t>(Minimum 11 Points Required)</t>
    </r>
  </si>
  <si>
    <t>Appliances, Lighting, Renewables (Min. 3 Points Req.)</t>
  </si>
  <si>
    <t>Last Updated 11.14.2022</t>
  </si>
  <si>
    <t>Inspection, Model #</t>
  </si>
  <si>
    <t>may still need to figure out a better # for this--just leave it for now</t>
  </si>
  <si>
    <t>Solar ready zone on south facing roof area designated on construction plans, size of zone determined by GBA based on building size</t>
  </si>
  <si>
    <t>will need to define this but leave it vague for now</t>
  </si>
  <si>
    <t>ASHRAE 90.1 2010 model OR COMCHECK using 2018 IECC shows greater than 15% building envelope efficiency improvement over baseline. 1 point for each 2% improvement in baseline, starting at 15%.</t>
  </si>
  <si>
    <t>(enter % reduction here)</t>
  </si>
  <si>
    <t>Demonstrate a reduction in embodied carbon from a baseline using the EC3, WARM, or Beam tools, 2 points per 10% reduction.</t>
  </si>
  <si>
    <t>20</t>
  </si>
  <si>
    <t>Copy of calculations</t>
  </si>
  <si>
    <t>Accessible Design: At Least 5% of units contain the following accessible or universal design features (points available for ALL of the following):</t>
  </si>
  <si>
    <t>accessible bathroom on lowest floor of the unit</t>
  </si>
  <si>
    <t xml:space="preserve">  Provide a diagram to tenants showing the location of safety valves and controls for major home systems. </t>
  </si>
  <si>
    <t xml:space="preserve">  Provide educational sessions to tenants covering items a-d </t>
  </si>
  <si>
    <t>development includes a common, landscaped (not hardscaped) green space or park space of at least 100 square feet in size, at least 50% of it meets full accessibility guidelines, and that is available to all tenants</t>
  </si>
  <si>
    <t xml:space="preserve">Use landscaping or other features to provide shading of &gt;60% of installed hardscaped surfaces. </t>
  </si>
  <si>
    <t xml:space="preserve">  Attic knee wall with air barrier insulated above code:
Zone3=R17.5, Zone4=17.5, Zone5=R21.5</t>
  </si>
  <si>
    <t xml:space="preserve">  Thermostat with Wi-Fi or Home Automation System capability</t>
  </si>
  <si>
    <t>DOE: Lighting Controls</t>
  </si>
  <si>
    <t>Renewable Energy system contributes to building's total annual energy use (Credit available for ALL of the following):</t>
  </si>
  <si>
    <t>Exhaust fan in garages adjacent to living spaces controlled by timer (100 CFM min)</t>
  </si>
  <si>
    <t>Heat pump dryer or dryer CEF&gt;4</t>
  </si>
  <si>
    <t xml:space="preserve">Building Meets ENERGY STAR Multifamily, OR 100% of units meet NC HERO Code (option available on projects 3 stories or less), or SystemVision (option available for projects that meet affordable housing guidelines). </t>
  </si>
  <si>
    <t>Perform a blower door test and meet minimum standard of 0.35 CFM50/sf of a building envelope's surface area OR 5 ACH50</t>
  </si>
  <si>
    <r>
      <t xml:space="preserve"> + NET ZERO ENERGY READY CERTIFICATION ONLY: meet all of the following (see exceptions in pop up comments):
a) 75% of units have a HERS 55 or lower, OR, </t>
    </r>
    <r>
      <rPr>
        <sz val="10"/>
        <rFont val="Arial"/>
        <family val="2"/>
      </rPr>
      <t>an</t>
    </r>
    <r>
      <rPr>
        <sz val="10"/>
        <color rgb="FFFF0000"/>
        <rFont val="Arial"/>
        <family val="2"/>
      </rPr>
      <t xml:space="preserve"> </t>
    </r>
    <r>
      <rPr>
        <sz val="10"/>
        <rFont val="Arial"/>
        <family val="2"/>
      </rPr>
      <t>ASRAHE90.1 2010 whole building model shows 30% improvement over baseline</t>
    </r>
    <r>
      <rPr>
        <sz val="10"/>
        <color rgb="FF000000"/>
        <rFont val="Arial"/>
        <family val="2"/>
      </rPr>
      <t xml:space="preserve">
b) Plan for future solar installation(s) developed by a solar contractor and approved by GBA, may include project-specific conduit or blocking</t>
    </r>
  </si>
  <si>
    <r>
      <t xml:space="preserve"> + NET ZERO ENERGY CERTIFICATION ONLY: </t>
    </r>
    <r>
      <rPr>
        <sz val="10"/>
        <rFont val="Arial"/>
        <family val="2"/>
      </rPr>
      <t>Definition and method for multifamily to be developed/approved by GBA</t>
    </r>
  </si>
  <si>
    <r>
      <t xml:space="preserve"> + NET ZERO WATER CERTIFICATION: </t>
    </r>
    <r>
      <rPr>
        <sz val="10"/>
        <rFont val="Arial"/>
        <family val="2"/>
      </rPr>
      <t>Definition and method for multifamily to be developed/approved by GBA</t>
    </r>
  </si>
  <si>
    <r>
      <t xml:space="preserve">Install stormwater control systems to manage the </t>
    </r>
    <r>
      <rPr>
        <sz val="10"/>
        <color theme="9" tint="-0.249977111117893"/>
        <rFont val="Arial"/>
        <family val="2"/>
      </rPr>
      <t>2 year, 24 hour storm</t>
    </r>
  </si>
  <si>
    <r>
      <t>Quantify the stormwater runoff created by the</t>
    </r>
    <r>
      <rPr>
        <sz val="10"/>
        <color theme="9" tint="-0.249977111117893"/>
        <rFont val="Arial"/>
        <family val="2"/>
      </rPr>
      <t xml:space="preserve"> project during the 2 year 24 hour storm</t>
    </r>
  </si>
  <si>
    <r>
      <t>Installed stormwater permanent control systems are designed to manage 100% of runoff from a</t>
    </r>
    <r>
      <rPr>
        <sz val="10"/>
        <color theme="9" tint="-0.249977111117893"/>
        <rFont val="Arial"/>
        <family val="2"/>
      </rPr>
      <t xml:space="preserve"> 10 year 24 hour</t>
    </r>
    <r>
      <rPr>
        <sz val="10"/>
        <color rgb="FF008000"/>
        <rFont val="Arial"/>
        <family val="2"/>
      </rPr>
      <t xml:space="preserve"> storm</t>
    </r>
  </si>
  <si>
    <r>
      <rPr>
        <sz val="10"/>
        <color theme="9" tint="-0.249977111117893"/>
        <rFont val="Arial"/>
        <family val="2"/>
      </rPr>
      <t>Building</t>
    </r>
    <r>
      <rPr>
        <sz val="10"/>
        <color rgb="FF008000"/>
        <rFont val="Arial"/>
        <family val="2"/>
      </rPr>
      <t xml:space="preserve"> located close to business district. (Choose ONE):</t>
    </r>
  </si>
  <si>
    <r>
      <t xml:space="preserve">Bus access within 1/2 mile of </t>
    </r>
    <r>
      <rPr>
        <sz val="10"/>
        <color theme="9" tint="-0.249977111117893"/>
        <rFont val="Arial"/>
        <family val="2"/>
      </rPr>
      <t>building site</t>
    </r>
  </si>
  <si>
    <r>
      <t>Low flow kitchen faucets in</t>
    </r>
    <r>
      <rPr>
        <sz val="10"/>
        <color rgb="FFFF0000"/>
        <rFont val="Arial"/>
        <family val="2"/>
      </rPr>
      <t xml:space="preserve"> </t>
    </r>
    <r>
      <rPr>
        <sz val="10"/>
        <rFont val="Arial"/>
        <family val="2"/>
      </rPr>
      <t>90% of dwelling units</t>
    </r>
    <r>
      <rPr>
        <sz val="10"/>
        <color rgb="FF000000"/>
        <rFont val="Arial"/>
        <family val="2"/>
      </rPr>
      <t xml:space="preserve"> (Choose ONE):</t>
    </r>
  </si>
  <si>
    <r>
      <t xml:space="preserve">Low flow lavatory faucets in </t>
    </r>
    <r>
      <rPr>
        <sz val="10"/>
        <rFont val="Arial"/>
        <family val="2"/>
      </rPr>
      <t xml:space="preserve">90% of dwelling units </t>
    </r>
    <r>
      <rPr>
        <sz val="10"/>
        <color rgb="FF000000"/>
        <rFont val="Arial"/>
        <family val="2"/>
      </rPr>
      <t>(Choose ONE):</t>
    </r>
  </si>
  <si>
    <r>
      <t xml:space="preserve">Low flow showerheads in 90% </t>
    </r>
    <r>
      <rPr>
        <sz val="10"/>
        <rFont val="Arial"/>
        <family val="2"/>
      </rPr>
      <t>of dwelling units</t>
    </r>
    <r>
      <rPr>
        <sz val="10"/>
        <color rgb="FF000000"/>
        <rFont val="Arial"/>
        <family val="2"/>
      </rPr>
      <t xml:space="preserve"> (Choose ONE):</t>
    </r>
  </si>
  <si>
    <r>
      <t xml:space="preserve">High efficiency toilets </t>
    </r>
    <r>
      <rPr>
        <sz val="10"/>
        <rFont val="Arial"/>
        <family val="2"/>
      </rPr>
      <t>in all bathrooms</t>
    </r>
    <r>
      <rPr>
        <sz val="10"/>
        <color rgb="FF000000"/>
        <rFont val="Arial"/>
        <family val="2"/>
      </rPr>
      <t xml:space="preserve"> of 90% of</t>
    </r>
    <r>
      <rPr>
        <sz val="10"/>
        <rFont val="Arial"/>
        <family val="2"/>
      </rPr>
      <t xml:space="preserve"> dwelling units</t>
    </r>
    <r>
      <rPr>
        <sz val="10"/>
        <color rgb="FF000000"/>
        <rFont val="Arial"/>
        <family val="2"/>
      </rPr>
      <t xml:space="preserve"> (choose ONE):</t>
    </r>
  </si>
  <si>
    <r>
      <t>Toilets</t>
    </r>
    <r>
      <rPr>
        <sz val="10"/>
        <color rgb="FFFF0000"/>
        <rFont val="Arial"/>
        <family val="2"/>
      </rPr>
      <t xml:space="preserve"> </t>
    </r>
    <r>
      <rPr>
        <sz val="10"/>
        <rFont val="Arial"/>
        <family val="2"/>
      </rPr>
      <t>in all bathrooms</t>
    </r>
    <r>
      <rPr>
        <sz val="10"/>
        <color rgb="FF000000"/>
        <rFont val="Arial"/>
        <family val="2"/>
      </rPr>
      <t xml:space="preserve"> in </t>
    </r>
    <r>
      <rPr>
        <sz val="10"/>
        <rFont val="Arial"/>
        <family val="2"/>
      </rPr>
      <t>90% of dwelling units</t>
    </r>
    <r>
      <rPr>
        <sz val="10"/>
        <color rgb="FF000000"/>
        <rFont val="Arial"/>
        <family val="2"/>
      </rPr>
      <t xml:space="preserve"> have UNAR MaP rating of 1000 grams per flush</t>
    </r>
  </si>
  <si>
    <r>
      <t>Clothes washers in</t>
    </r>
    <r>
      <rPr>
        <sz val="10"/>
        <color rgb="FFFF0000"/>
        <rFont val="Arial"/>
        <family val="2"/>
      </rPr>
      <t xml:space="preserve"> </t>
    </r>
    <r>
      <rPr>
        <sz val="10"/>
        <rFont val="Arial"/>
        <family val="2"/>
      </rPr>
      <t>90% of dwelling units,</t>
    </r>
    <r>
      <rPr>
        <sz val="10"/>
        <color rgb="FFFF0000"/>
        <rFont val="Arial"/>
        <family val="2"/>
      </rPr>
      <t xml:space="preserve"> </t>
    </r>
    <r>
      <rPr>
        <sz val="10"/>
        <rFont val="Arial"/>
        <family val="2"/>
      </rPr>
      <t>and or in communal laundry areas,</t>
    </r>
    <r>
      <rPr>
        <sz val="10"/>
        <color rgb="FF000000"/>
        <rFont val="Arial"/>
        <family val="2"/>
      </rPr>
      <t xml:space="preserve"> are energy and water efficient (Choose ONE):</t>
    </r>
  </si>
  <si>
    <r>
      <t xml:space="preserve">Dishwasher in </t>
    </r>
    <r>
      <rPr>
        <sz val="10"/>
        <rFont val="Arial"/>
        <family val="2"/>
      </rPr>
      <t>90% of dwelling units</t>
    </r>
    <r>
      <rPr>
        <sz val="10"/>
        <color rgb="FF000000"/>
        <rFont val="Arial"/>
        <family val="2"/>
      </rPr>
      <t xml:space="preserve"> is energy and water efficient (Choose ONE):</t>
    </r>
  </si>
  <si>
    <r>
      <rPr>
        <sz val="10"/>
        <rFont val="Arial"/>
        <family val="2"/>
      </rPr>
      <t xml:space="preserve">Average Individual Unit </t>
    </r>
    <r>
      <rPr>
        <sz val="10"/>
        <color theme="1"/>
        <rFont val="Arial"/>
        <family val="2"/>
      </rPr>
      <t>HERS Score ≤ 70</t>
    </r>
    <r>
      <rPr>
        <sz val="10"/>
        <color rgb="FFFF0000"/>
        <rFont val="Arial"/>
        <family val="2"/>
      </rPr>
      <t xml:space="preserve"> </t>
    </r>
    <r>
      <rPr>
        <sz val="10"/>
        <color rgb="FF000000"/>
        <rFont val="Arial"/>
        <family val="2"/>
      </rPr>
      <t xml:space="preserve"> (1 to 35 points)
1 point is awarded for every 2 HERS points decrease in the HERS Index, beginning with 1 point for a HERS Index of 70. </t>
    </r>
  </si>
  <si>
    <r>
      <t xml:space="preserve">ENERGY STAR </t>
    </r>
    <r>
      <rPr>
        <sz val="10"/>
        <color theme="9" tint="-0.249977111117893"/>
        <rFont val="Arial"/>
        <family val="2"/>
      </rPr>
      <t xml:space="preserve">Multifamily </t>
    </r>
    <r>
      <rPr>
        <sz val="10"/>
        <color rgb="FF008000"/>
        <rFont val="Arial"/>
        <family val="2"/>
      </rPr>
      <t>Certification</t>
    </r>
  </si>
  <si>
    <r>
      <t xml:space="preserve">DOE Zero Energy Ready Home </t>
    </r>
    <r>
      <rPr>
        <sz val="10"/>
        <color theme="9" tint="-0.249977111117893"/>
        <rFont val="Arial"/>
        <family val="2"/>
      </rPr>
      <t xml:space="preserve">Multifamily </t>
    </r>
    <r>
      <rPr>
        <sz val="10"/>
        <color rgb="FF008000"/>
        <rFont val="Arial"/>
        <family val="2"/>
      </rPr>
      <t>Certification</t>
    </r>
  </si>
  <si>
    <t>Vertical edge insulation creates a thermal break (Choose ONE):</t>
  </si>
  <si>
    <t xml:space="preserve">  R-38 joists/R14.6 continuous</t>
  </si>
  <si>
    <t xml:space="preserve">  R-50 joists/R20 continuous</t>
  </si>
  <si>
    <t xml:space="preserve">  R-38 insulation with air barrier on all six sides (or spray foam)</t>
  </si>
  <si>
    <r>
      <t xml:space="preserve">Wall Systems - Limit </t>
    </r>
    <r>
      <rPr>
        <b/>
        <sz val="10"/>
        <rFont val="Arial"/>
        <family val="2"/>
      </rPr>
      <t>TWO</t>
    </r>
    <r>
      <rPr>
        <b/>
        <sz val="10"/>
        <color rgb="FF000000"/>
        <rFont val="Arial"/>
        <family val="2"/>
      </rPr>
      <t xml:space="preserve"> per building (homes with only one wall type: see comment box)</t>
    </r>
  </si>
  <si>
    <r>
      <t>Continuous exterior rigid insulation (minimum R-</t>
    </r>
    <r>
      <rPr>
        <sz val="10"/>
        <rFont val="Arial"/>
        <family val="2"/>
      </rPr>
      <t>7.5</t>
    </r>
    <r>
      <rPr>
        <sz val="10"/>
        <color rgb="FF000000"/>
        <rFont val="Arial"/>
        <family val="2"/>
      </rPr>
      <t>)</t>
    </r>
  </si>
  <si>
    <t xml:space="preserve">  Continuous Insulation: Zone3=R-25, Zone4/5=R-30</t>
  </si>
  <si>
    <t>Provide overhang, located between one and two feet above 90% of south facing windows on all applicable units</t>
  </si>
  <si>
    <t>Implement exterior strategies to reduce heat gain and/or heat loss, such as exterior-mounted sunscreens, or operable awnings.  At minimum, implement on 90% of the southern and western facing windows on all applicable units</t>
  </si>
  <si>
    <r>
      <t>Implement interior strategies to reduce heat gain and/or heat loss, such as insulated window coverings.  At minimum, implement on 90% of the southern and western facing windows on</t>
    </r>
    <r>
      <rPr>
        <sz val="10"/>
        <color rgb="FFFF0000"/>
        <rFont val="Arial"/>
        <family val="2"/>
      </rPr>
      <t xml:space="preserve"> </t>
    </r>
    <r>
      <rPr>
        <sz val="10"/>
        <rFont val="Arial"/>
        <family val="2"/>
      </rPr>
      <t>all applicable units</t>
    </r>
  </si>
  <si>
    <t>East facing glazing less than 3% of total conditioned floor area on all units (all glazing within 45 degrees north or south of east should be included in calculation)</t>
  </si>
  <si>
    <r>
      <t>West facing glazing less than 2% of total conditioned floor area on all units</t>
    </r>
    <r>
      <rPr>
        <sz val="10"/>
        <color rgb="FFFF0000"/>
        <rFont val="Arial"/>
        <family val="2"/>
      </rPr>
      <t xml:space="preserve"> </t>
    </r>
    <r>
      <rPr>
        <sz val="10"/>
        <rFont val="Arial"/>
        <family val="2"/>
      </rPr>
      <t xml:space="preserve"> (all glazing within 45 degrees north or south of west should be included in calculation)</t>
    </r>
  </si>
  <si>
    <t>South Facing Glazing (Choose ONE): (can submit an alternative passive solar design for potential innovation points)</t>
  </si>
  <si>
    <t xml:space="preserve">  South facing glazing between 6-10% of total conditioned floor area (applies to all units on south facing side of a building earning points under #2.) Glazing must be within 15 degrees E. or W. of solar south and must have proper overhangs. </t>
  </si>
  <si>
    <r>
      <t xml:space="preserve"> South facing glazing between 8-12% of total conditioned floor area</t>
    </r>
    <r>
      <rPr>
        <sz val="10"/>
        <rFont val="Arial"/>
        <family val="2"/>
      </rPr>
      <t xml:space="preserve"> (applies to all units on south facing side of a building earning points under #2)</t>
    </r>
    <r>
      <rPr>
        <sz val="10"/>
        <color rgb="FF000000"/>
        <rFont val="Arial"/>
        <family val="2"/>
      </rPr>
      <t xml:space="preserve">. Glazing must be within 15 degrees E. or W. of solar south, must have proper overhangs, thermal mass and an SHGC &gt;.45  </t>
    </r>
  </si>
  <si>
    <r>
      <t>Ducts located within</t>
    </r>
    <r>
      <rPr>
        <sz val="10"/>
        <rFont val="Arial"/>
        <family val="2"/>
      </rPr>
      <t xml:space="preserve"> whole building </t>
    </r>
    <r>
      <rPr>
        <sz val="10"/>
        <color rgb="FF000000"/>
        <rFont val="Arial"/>
        <family val="2"/>
      </rPr>
      <t xml:space="preserve">thermal envelope  </t>
    </r>
    <r>
      <rPr>
        <sz val="10"/>
        <rFont val="Arial"/>
        <family val="2"/>
      </rPr>
      <t>(min.90% of the ductwork</t>
    </r>
    <r>
      <rPr>
        <sz val="10"/>
        <color rgb="FF000000"/>
        <rFont val="Arial"/>
        <family val="2"/>
      </rPr>
      <t xml:space="preserve">) </t>
    </r>
  </si>
  <si>
    <t>Efficient lighting in whole building (Choose ONE):</t>
  </si>
  <si>
    <r>
      <t>Incorporate nat</t>
    </r>
    <r>
      <rPr>
        <sz val="9"/>
        <rFont val="Arial"/>
        <family val="2"/>
      </rPr>
      <t xml:space="preserve">ural lighting strategies, either in 50% of units or in common spaces </t>
    </r>
    <r>
      <rPr>
        <sz val="9"/>
        <color rgb="FF000000"/>
        <rFont val="Arial"/>
        <family val="2"/>
      </rPr>
      <t>(Credit available for ALL of the following):</t>
    </r>
  </si>
  <si>
    <t>Induction Cooktop in common area or 50% of units</t>
  </si>
  <si>
    <r>
      <t>Renewable energy system sized to provides 2800 kWh/year excess</t>
    </r>
    <r>
      <rPr>
        <sz val="10"/>
        <color rgb="FFFF0000"/>
        <rFont val="Arial"/>
        <family val="2"/>
      </rPr>
      <t xml:space="preserve"> </t>
    </r>
    <r>
      <rPr>
        <sz val="10"/>
        <rFont val="Arial"/>
        <family val="2"/>
      </rPr>
      <t>per EV charging station for</t>
    </r>
    <r>
      <rPr>
        <sz val="10"/>
        <color rgb="FF000000"/>
        <rFont val="Arial"/>
        <family val="2"/>
      </rPr>
      <t xml:space="preserve"> charging plug-in vehicle.  </t>
    </r>
  </si>
  <si>
    <t>Any garages adjacent to living spaces are isolated from dwelling units with spray foam insulation</t>
  </si>
  <si>
    <t>Improved fresh air ventilation system (Choose ONE):</t>
  </si>
  <si>
    <r>
      <t xml:space="preserve">Building is all electric </t>
    </r>
    <r>
      <rPr>
        <sz val="10"/>
        <color rgb="FF008000"/>
        <rFont val="Arial"/>
        <family val="2"/>
      </rPr>
      <t xml:space="preserve">with heat pumps (furnaces using resistance heat as main heat source do not earn these points) </t>
    </r>
  </si>
  <si>
    <r>
      <t>Building is all electric with heat pumps (furnaces using resistance heat as main heat source do not earn these points</t>
    </r>
    <r>
      <rPr>
        <sz val="10"/>
        <color theme="9" tint="-0.499984740745262"/>
        <rFont val="Arial"/>
        <family val="2"/>
      </rPr>
      <t xml:space="preserve">) </t>
    </r>
  </si>
  <si>
    <t>ENERGY STAR Multifamily Water Management Checklist inspected by site supervisor and copy provided to building manager</t>
  </si>
  <si>
    <r>
      <t>roll in shower installed</t>
    </r>
    <r>
      <rPr>
        <sz val="10"/>
        <color rgb="FFFF0000"/>
        <rFont val="Arial"/>
        <family val="2"/>
      </rPr>
      <t xml:space="preserve"> </t>
    </r>
    <r>
      <rPr>
        <sz val="10"/>
        <rFont val="Arial"/>
        <family val="2"/>
      </rPr>
      <t>in at least one bathroom</t>
    </r>
  </si>
  <si>
    <r>
      <t>At least</t>
    </r>
    <r>
      <rPr>
        <sz val="10"/>
        <color rgb="FFFF0000"/>
        <rFont val="Arial"/>
        <family val="2"/>
      </rPr>
      <t xml:space="preserve"> </t>
    </r>
    <r>
      <rPr>
        <sz val="10"/>
        <rFont val="Arial"/>
        <family val="2"/>
      </rPr>
      <t>one clothes closet with 32" clear opening (min.) and adjustable hanging rod</t>
    </r>
  </si>
  <si>
    <t>5' turning radius around the bed in at least one room</t>
  </si>
  <si>
    <r>
      <rPr>
        <sz val="10"/>
        <rFont val="Arial"/>
        <family val="2"/>
      </rPr>
      <t>Owner and Tennent</t>
    </r>
    <r>
      <rPr>
        <sz val="10"/>
        <color rgb="FF008000"/>
        <rFont val="Arial"/>
        <family val="2"/>
      </rPr>
      <t xml:space="preserve"> Education (credit available for ALL of the following):</t>
    </r>
  </si>
  <si>
    <r>
      <t>Offset the building's</t>
    </r>
    <r>
      <rPr>
        <sz val="10"/>
        <color rgb="FFFF0000"/>
        <rFont val="Arial"/>
        <family val="2"/>
      </rPr>
      <t xml:space="preserve"> </t>
    </r>
    <r>
      <rPr>
        <sz val="10"/>
        <color rgb="FF009900"/>
        <rFont val="Arial"/>
        <family val="2"/>
      </rPr>
      <t xml:space="preserve">operational </t>
    </r>
    <r>
      <rPr>
        <sz val="10"/>
        <color rgb="FF008000"/>
        <rFont val="Arial"/>
        <family val="2"/>
      </rPr>
      <t>carbon footprint for one year</t>
    </r>
  </si>
  <si>
    <r>
      <t xml:space="preserve">Offset the </t>
    </r>
    <r>
      <rPr>
        <sz val="10"/>
        <color rgb="FF009900"/>
        <rFont val="Arial"/>
        <family val="2"/>
      </rPr>
      <t xml:space="preserve">scope 1 and scope 2 carbon footprint </t>
    </r>
    <r>
      <rPr>
        <sz val="10"/>
        <color rgb="FF008000"/>
        <rFont val="Arial"/>
        <family val="2"/>
      </rPr>
      <t>of the project's construction</t>
    </r>
  </si>
  <si>
    <r>
      <t xml:space="preserve">  Giving the </t>
    </r>
    <r>
      <rPr>
        <sz val="10"/>
        <color theme="1"/>
        <rFont val="Arial"/>
        <family val="2"/>
      </rPr>
      <t>building owner</t>
    </r>
    <r>
      <rPr>
        <sz val="10"/>
        <rFont val="Arial"/>
        <family val="2"/>
      </rPr>
      <t xml:space="preserve"> a membership to Green Built Alliance</t>
    </r>
  </si>
  <si>
    <r>
      <rPr>
        <b/>
        <u/>
        <sz val="10"/>
        <color rgb="FF009900"/>
        <rFont val="Arial"/>
        <family val="2"/>
      </rPr>
      <t>OR</t>
    </r>
    <r>
      <rPr>
        <sz val="10"/>
        <color rgb="FF009900"/>
        <rFont val="Arial"/>
        <family val="2"/>
      </rPr>
      <t xml:space="preserve"> Design and Install permanent stormwater management system </t>
    </r>
    <r>
      <rPr>
        <sz val="10"/>
        <color rgb="FF008000"/>
        <rFont val="Arial"/>
        <family val="2"/>
      </rPr>
      <t>(credit available for ALL a-b)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</si>
</sst>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
  </numFmts>
  <fonts count="69" x14ac:knownFonts="1">
    <font>
      <sz val="11"/>
      <color rgb="FF000000"/>
      <name val="Calibri"/>
    </font>
    <font>
      <b/>
      <sz val="11"/>
      <color rgb="FF000000"/>
      <name val="Arial"/>
      <family val="2"/>
    </font>
    <font>
      <b/>
      <sz val="10"/>
      <name val="Arial"/>
      <family val="2"/>
    </font>
    <font>
      <b/>
      <sz val="11"/>
      <name val="Arial"/>
      <family val="2"/>
    </font>
    <font>
      <sz val="11"/>
      <color rgb="FF000000"/>
      <name val="Arial"/>
      <family val="2"/>
    </font>
    <font>
      <sz val="10"/>
      <color rgb="FF000000"/>
      <name val="Arial"/>
      <family val="2"/>
    </font>
    <font>
      <sz val="11"/>
      <name val="Calibri"/>
      <family val="2"/>
    </font>
    <font>
      <sz val="11"/>
      <name val="Arial"/>
      <family val="2"/>
    </font>
    <font>
      <b/>
      <sz val="14"/>
      <color rgb="FF000000"/>
      <name val="Arial"/>
      <family val="2"/>
    </font>
    <font>
      <b/>
      <sz val="9"/>
      <color rgb="FF000000"/>
      <name val="Arial"/>
      <family val="2"/>
    </font>
    <font>
      <b/>
      <sz val="9"/>
      <name val="Arial"/>
      <family val="2"/>
    </font>
    <font>
      <sz val="14"/>
      <color rgb="FF000000"/>
      <name val="Arial"/>
      <family val="2"/>
    </font>
    <font>
      <b/>
      <sz val="10"/>
      <color rgb="FF000000"/>
      <name val="Arial"/>
      <family val="2"/>
    </font>
    <font>
      <b/>
      <sz val="12"/>
      <color rgb="FF000000"/>
      <name val="Arial"/>
      <family val="2"/>
    </font>
    <font>
      <u/>
      <sz val="10"/>
      <color rgb="FF000000"/>
      <name val="Arial"/>
      <family val="2"/>
    </font>
    <font>
      <sz val="14"/>
      <name val="Arial"/>
      <family val="2"/>
    </font>
    <font>
      <sz val="10"/>
      <name val="Arial"/>
      <family val="2"/>
    </font>
    <font>
      <u/>
      <sz val="10"/>
      <name val="Arial"/>
      <family val="2"/>
    </font>
    <font>
      <sz val="11"/>
      <color rgb="FF000000"/>
      <name val="Calibri"/>
      <family val="2"/>
    </font>
    <font>
      <sz val="12"/>
      <color rgb="FF000000"/>
      <name val="Arial"/>
      <family val="2"/>
    </font>
    <font>
      <b/>
      <sz val="18"/>
      <color rgb="FFFFFFFF"/>
      <name val="Arial"/>
      <family val="2"/>
    </font>
    <font>
      <sz val="10"/>
      <color rgb="FF008000"/>
      <name val="Arial"/>
      <family val="2"/>
    </font>
    <font>
      <b/>
      <sz val="16"/>
      <color rgb="FFFFFFFF"/>
      <name val="Arial"/>
      <family val="2"/>
    </font>
    <font>
      <b/>
      <sz val="20"/>
      <color rgb="FFFFFFFF"/>
      <name val="Arial"/>
      <family val="2"/>
    </font>
    <font>
      <b/>
      <sz val="12"/>
      <name val="Arial"/>
      <family val="2"/>
    </font>
    <font>
      <sz val="10"/>
      <color rgb="FF434343"/>
      <name val="Arial"/>
      <family val="2"/>
    </font>
    <font>
      <sz val="8"/>
      <color rgb="FF000000"/>
      <name val="Arial"/>
      <family val="2"/>
    </font>
    <font>
      <b/>
      <sz val="8"/>
      <color rgb="FF000000"/>
      <name val="Arial"/>
      <family val="2"/>
    </font>
    <font>
      <sz val="9"/>
      <color rgb="FF000000"/>
      <name val="Arial"/>
      <family val="2"/>
    </font>
    <font>
      <b/>
      <sz val="10"/>
      <color rgb="FF003300"/>
      <name val="Arial"/>
      <family val="2"/>
    </font>
    <font>
      <b/>
      <sz val="12"/>
      <color rgb="FFFFFFFF"/>
      <name val="Arial"/>
      <family val="2"/>
    </font>
    <font>
      <b/>
      <sz val="10"/>
      <color rgb="FF008000"/>
      <name val="Arial"/>
      <family val="2"/>
    </font>
    <font>
      <sz val="10"/>
      <name val="Calibri"/>
      <family val="2"/>
    </font>
    <font>
      <i/>
      <sz val="10"/>
      <name val="Arial"/>
      <family val="2"/>
    </font>
    <font>
      <u/>
      <sz val="10"/>
      <name val="Calibri"/>
      <family val="2"/>
    </font>
    <font>
      <u/>
      <sz val="11"/>
      <name val="Arial"/>
      <family val="2"/>
    </font>
    <font>
      <b/>
      <u/>
      <sz val="11"/>
      <name val="Arial"/>
      <family val="2"/>
    </font>
    <font>
      <sz val="9"/>
      <name val="Arial"/>
      <family val="2"/>
    </font>
    <font>
      <i/>
      <sz val="11"/>
      <name val="Arial"/>
      <family val="2"/>
    </font>
    <font>
      <b/>
      <u/>
      <sz val="16"/>
      <color theme="0"/>
      <name val="Arial"/>
      <family val="2"/>
    </font>
    <font>
      <b/>
      <sz val="16"/>
      <color theme="0"/>
      <name val="Arial"/>
      <family val="2"/>
    </font>
    <font>
      <u/>
      <sz val="11"/>
      <color theme="10"/>
      <name val="Calibri"/>
      <family val="2"/>
    </font>
    <font>
      <sz val="9"/>
      <color indexed="81"/>
      <name val="Tahoma"/>
      <family val="2"/>
    </font>
    <font>
      <b/>
      <sz val="12"/>
      <color theme="0"/>
      <name val="Arial"/>
      <family val="2"/>
    </font>
    <font>
      <b/>
      <sz val="11"/>
      <color theme="0"/>
      <name val="Arial"/>
      <family val="2"/>
    </font>
    <font>
      <b/>
      <sz val="16"/>
      <color theme="0"/>
      <name val="Calibri"/>
      <family val="2"/>
    </font>
    <font>
      <sz val="16"/>
      <color theme="0"/>
      <name val="Calibri"/>
      <family val="2"/>
    </font>
    <font>
      <b/>
      <sz val="10"/>
      <color rgb="FFFF0000"/>
      <name val="Arial"/>
      <family val="2"/>
    </font>
    <font>
      <b/>
      <sz val="14"/>
      <name val="Arial"/>
      <family val="2"/>
    </font>
    <font>
      <b/>
      <u/>
      <sz val="14"/>
      <name val="Arial"/>
      <family val="2"/>
    </font>
    <font>
      <sz val="10"/>
      <color rgb="FF009900"/>
      <name val="Arial"/>
      <family val="2"/>
    </font>
    <font>
      <sz val="11"/>
      <color rgb="FF009900"/>
      <name val="Arial"/>
      <family val="2"/>
    </font>
    <font>
      <sz val="11"/>
      <color indexed="81"/>
      <name val="Calibri"/>
      <family val="2"/>
      <scheme val="minor"/>
    </font>
    <font>
      <b/>
      <sz val="10"/>
      <color rgb="FF009900"/>
      <name val="Arial"/>
      <family val="2"/>
    </font>
    <font>
      <b/>
      <sz val="9"/>
      <color indexed="81"/>
      <name val="Tahoma"/>
      <family val="2"/>
    </font>
    <font>
      <u/>
      <sz val="10"/>
      <color theme="1"/>
      <name val="Arial"/>
      <family val="2"/>
    </font>
    <font>
      <sz val="10"/>
      <color theme="1"/>
      <name val="Arial"/>
      <family val="2"/>
    </font>
    <font>
      <u/>
      <sz val="11"/>
      <color theme="1"/>
      <name val="Calibri"/>
      <family val="2"/>
    </font>
    <font>
      <sz val="10"/>
      <color rgb="FFFF0000"/>
      <name val="Arial"/>
      <family val="2"/>
    </font>
    <font>
      <sz val="11"/>
      <color rgb="FFFF0000"/>
      <name val="Arial"/>
      <family val="2"/>
    </font>
    <font>
      <sz val="14"/>
      <color theme="0"/>
      <name val="Calibri"/>
      <family val="2"/>
    </font>
    <font>
      <sz val="11"/>
      <color theme="1"/>
      <name val="Arial"/>
      <family val="2"/>
    </font>
    <font>
      <b/>
      <sz val="48"/>
      <color theme="9" tint="-0.499984740745262"/>
      <name val="Times New Roman"/>
      <family val="1"/>
    </font>
    <font>
      <b/>
      <i/>
      <sz val="18"/>
      <color theme="9" tint="-0.499984740745262"/>
      <name val="Times New Roman"/>
      <family val="1"/>
    </font>
    <font>
      <sz val="11"/>
      <color theme="9" tint="-0.499984740745262"/>
      <name val="Calibri"/>
      <family val="2"/>
    </font>
    <font>
      <sz val="10"/>
      <color theme="9" tint="-0.249977111117893"/>
      <name val="Arial"/>
      <family val="2"/>
    </font>
    <font>
      <sz val="10"/>
      <color theme="9" tint="-0.499984740745262"/>
      <name val="Arial"/>
      <family val="2"/>
    </font>
    <font>
      <sz val="11"/>
      <color theme="9" tint="-0.499984740745262"/>
      <name val="Arial"/>
      <family val="2"/>
    </font>
    <font>
      <b/>
      <u/>
      <sz val="10"/>
      <color rgb="FF009900"/>
      <name val="Arial"/>
      <family val="2"/>
    </font>
  </fonts>
  <fills count="32">
    <fill>
      <patternFill patternType="none"/>
    </fill>
    <fill>
      <patternFill patternType="gray125"/>
    </fill>
    <fill>
      <patternFill patternType="solid">
        <fgColor rgb="FF008000"/>
        <bgColor rgb="FF008000"/>
      </patternFill>
    </fill>
    <fill>
      <patternFill patternType="solid">
        <fgColor rgb="FFFFFFFF"/>
        <bgColor rgb="FFFFFFFF"/>
      </patternFill>
    </fill>
    <fill>
      <patternFill patternType="solid">
        <fgColor rgb="FFFFFF99"/>
        <bgColor rgb="FFFFFF99"/>
      </patternFill>
    </fill>
    <fill>
      <patternFill patternType="solid">
        <fgColor rgb="FFCCFFCC"/>
        <bgColor rgb="FFCCFFCC"/>
      </patternFill>
    </fill>
    <fill>
      <patternFill patternType="solid">
        <fgColor rgb="FFCCFECC"/>
        <bgColor rgb="FFCCFECC"/>
      </patternFill>
    </fill>
    <fill>
      <patternFill patternType="solid">
        <fgColor theme="0"/>
        <bgColor indexed="64"/>
      </patternFill>
    </fill>
    <fill>
      <patternFill patternType="solid">
        <fgColor rgb="FFFFFF99"/>
        <bgColor rgb="FFFFFFCC"/>
      </patternFill>
    </fill>
    <fill>
      <patternFill patternType="solid">
        <fgColor rgb="FFFFFF99"/>
        <bgColor indexed="64"/>
      </patternFill>
    </fill>
    <fill>
      <patternFill patternType="solid">
        <fgColor rgb="FFCCCCFF"/>
        <bgColor rgb="FFB7B7B7"/>
      </patternFill>
    </fill>
    <fill>
      <patternFill patternType="solid">
        <fgColor rgb="FFCCCCFF"/>
        <bgColor indexed="64"/>
      </patternFill>
    </fill>
    <fill>
      <patternFill patternType="solid">
        <fgColor rgb="FFCCCCFF"/>
        <bgColor rgb="FFC0C0C0"/>
      </patternFill>
    </fill>
    <fill>
      <patternFill patternType="solid">
        <fgColor rgb="FFCCCCFF"/>
        <bgColor rgb="FFD9E2F3"/>
      </patternFill>
    </fill>
    <fill>
      <patternFill patternType="solid">
        <fgColor rgb="FFCCCCFF"/>
        <bgColor rgb="FFDADADA"/>
      </patternFill>
    </fill>
    <fill>
      <patternFill patternType="solid">
        <fgColor rgb="FFCCCCFF"/>
        <bgColor rgb="FFCCFFCC"/>
      </patternFill>
    </fill>
    <fill>
      <patternFill patternType="solid">
        <fgColor rgb="FFCCFFCC"/>
        <bgColor rgb="FFFFFF99"/>
      </patternFill>
    </fill>
    <fill>
      <patternFill patternType="solid">
        <fgColor rgb="FFCCFFCC"/>
        <bgColor rgb="FFFFFFFF"/>
      </patternFill>
    </fill>
    <fill>
      <patternFill patternType="solid">
        <fgColor rgb="FFCCFFCC"/>
        <bgColor indexed="64"/>
      </patternFill>
    </fill>
    <fill>
      <patternFill patternType="solid">
        <fgColor rgb="FFCCFFCC"/>
        <bgColor rgb="FFC0C0C0"/>
      </patternFill>
    </fill>
    <fill>
      <patternFill patternType="solid">
        <fgColor theme="9" tint="-0.499984740745262"/>
        <bgColor indexed="64"/>
      </patternFill>
    </fill>
    <fill>
      <patternFill patternType="solid">
        <fgColor theme="9" tint="-0.499984740745262"/>
        <bgColor rgb="FF008000"/>
      </patternFill>
    </fill>
    <fill>
      <patternFill patternType="solid">
        <fgColor theme="4" tint="-0.499984740745262"/>
        <bgColor rgb="FF0000FF"/>
      </patternFill>
    </fill>
    <fill>
      <patternFill patternType="solid">
        <fgColor theme="4" tint="-0.499984740745262"/>
        <bgColor indexed="64"/>
      </patternFill>
    </fill>
    <fill>
      <patternFill patternType="solid">
        <fgColor theme="4" tint="-0.499984740745262"/>
        <bgColor rgb="FF3366FF"/>
      </patternFill>
    </fill>
    <fill>
      <patternFill patternType="solid">
        <fgColor theme="4" tint="-0.499984740745262"/>
        <bgColor rgb="FFCCCCFF"/>
      </patternFill>
    </fill>
    <fill>
      <patternFill patternType="solid">
        <fgColor theme="9" tint="-0.499984740745262"/>
        <bgColor rgb="FFCCFFCC"/>
      </patternFill>
    </fill>
    <fill>
      <patternFill patternType="solid">
        <fgColor theme="8" tint="0.39997558519241921"/>
        <bgColor rgb="FFCCCCFF"/>
      </patternFill>
    </fill>
    <fill>
      <patternFill patternType="solid">
        <fgColor theme="8" tint="0.39997558519241921"/>
        <bgColor indexed="64"/>
      </patternFill>
    </fill>
    <fill>
      <patternFill patternType="solid">
        <fgColor theme="9" tint="-0.499984740745262"/>
        <bgColor rgb="FFFFFF99"/>
      </patternFill>
    </fill>
    <fill>
      <patternFill patternType="solid">
        <fgColor theme="9" tint="-0.499984740745262"/>
        <bgColor rgb="FFFFFFFF"/>
      </patternFill>
    </fill>
    <fill>
      <patternFill patternType="solid">
        <fgColor rgb="FFCCCCFF"/>
        <bgColor rgb="FFFFFF99"/>
      </patternFill>
    </fill>
  </fills>
  <borders count="331">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style="thin">
        <color rgb="FF000000"/>
      </left>
      <right/>
      <top style="thin">
        <color rgb="FF000000"/>
      </top>
      <bottom style="thin">
        <color rgb="FF000000"/>
      </bottom>
      <diagonal/>
    </border>
    <border>
      <left/>
      <right/>
      <top style="medium">
        <color rgb="FF000000"/>
      </top>
      <bottom/>
      <diagonal/>
    </border>
    <border>
      <left/>
      <right/>
      <top style="thin">
        <color rgb="FF000000"/>
      </top>
      <bottom style="thin">
        <color rgb="FF000000"/>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right/>
      <top style="hair">
        <color rgb="FF000000"/>
      </top>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thin">
        <color rgb="FF000000"/>
      </top>
      <bottom style="thin">
        <color rgb="FF000000"/>
      </bottom>
      <diagonal/>
    </border>
    <border>
      <left/>
      <right style="thin">
        <color rgb="FF000000"/>
      </right>
      <top/>
      <bottom/>
      <diagonal/>
    </border>
    <border>
      <left style="thin">
        <color rgb="FF000000"/>
      </left>
      <right style="medium">
        <color rgb="FF000000"/>
      </right>
      <top/>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bottom/>
      <diagonal/>
    </border>
    <border>
      <left style="thin">
        <color rgb="FF000000"/>
      </left>
      <right/>
      <top style="medium">
        <color rgb="FF000000"/>
      </top>
      <bottom/>
      <diagonal/>
    </border>
    <border>
      <left style="medium">
        <color rgb="FF000000"/>
      </left>
      <right/>
      <top/>
      <bottom/>
      <diagonal/>
    </border>
    <border>
      <left/>
      <right/>
      <top/>
      <bottom/>
      <diagonal/>
    </border>
    <border>
      <left/>
      <right/>
      <top/>
      <bottom/>
      <diagonal/>
    </border>
    <border>
      <left style="thin">
        <color rgb="FF000000"/>
      </left>
      <right style="thin">
        <color rgb="FF000000"/>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thin">
        <color rgb="FF000000"/>
      </right>
      <top/>
      <bottom/>
      <diagonal/>
    </border>
    <border>
      <left/>
      <right style="medium">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diagonal/>
    </border>
    <border>
      <left/>
      <right/>
      <top style="hair">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thin">
        <color rgb="FF000000"/>
      </left>
      <right style="medium">
        <color rgb="FF000000"/>
      </right>
      <top style="hair">
        <color rgb="FF000000"/>
      </top>
      <bottom/>
      <diagonal/>
    </border>
    <border>
      <left style="medium">
        <color rgb="FF000000"/>
      </left>
      <right style="medium">
        <color rgb="FF000000"/>
      </right>
      <top style="hair">
        <color rgb="FF000000"/>
      </top>
      <bottom/>
      <diagonal/>
    </border>
    <border>
      <left style="medium">
        <color rgb="FF000000"/>
      </left>
      <right style="thin">
        <color rgb="FF000000"/>
      </right>
      <top/>
      <bottom/>
      <diagonal/>
    </border>
    <border>
      <left style="medium">
        <color rgb="FF000000"/>
      </left>
      <right style="medium">
        <color rgb="FF000000"/>
      </right>
      <top style="hair">
        <color rgb="FF000000"/>
      </top>
      <bottom style="thin">
        <color rgb="FF000000"/>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bottom/>
      <diagonal/>
    </border>
    <border>
      <left/>
      <right style="medium">
        <color rgb="FF000000"/>
      </right>
      <top style="medium">
        <color rgb="FF000000"/>
      </top>
      <bottom style="medium">
        <color rgb="FF000000"/>
      </bottom>
      <diagonal/>
    </border>
    <border>
      <left/>
      <right style="thin">
        <color rgb="FF000000"/>
      </right>
      <top/>
      <bottom/>
      <diagonal/>
    </border>
    <border>
      <left/>
      <right style="medium">
        <color rgb="FF000000"/>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thin">
        <color rgb="FF000000"/>
      </left>
      <right/>
      <top style="hair">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thin">
        <color rgb="FF000000"/>
      </left>
      <right/>
      <top style="hair">
        <color rgb="FF000000"/>
      </top>
      <bottom style="thin">
        <color rgb="FF000000"/>
      </bottom>
      <diagonal/>
    </border>
    <border>
      <left/>
      <right style="medium">
        <color rgb="FF000000"/>
      </right>
      <top style="hair">
        <color rgb="FF000000"/>
      </top>
      <bottom style="thin">
        <color rgb="FF000000"/>
      </bottom>
      <diagonal/>
    </border>
    <border>
      <left style="thin">
        <color rgb="FF000000"/>
      </left>
      <right/>
      <top style="thin">
        <color rgb="FF000000"/>
      </top>
      <bottom style="hair">
        <color rgb="FF000000"/>
      </bottom>
      <diagonal/>
    </border>
    <border>
      <left/>
      <right style="medium">
        <color rgb="FF000000"/>
      </right>
      <top style="thin">
        <color rgb="FF000000"/>
      </top>
      <bottom style="hair">
        <color rgb="FF000000"/>
      </bottom>
      <diagonal/>
    </border>
    <border>
      <left/>
      <right/>
      <top style="medium">
        <color rgb="FF000000"/>
      </top>
      <bottom/>
      <diagonal/>
    </border>
    <border>
      <left style="thin">
        <color rgb="FF000000"/>
      </left>
      <right/>
      <top style="medium">
        <color rgb="FF000000"/>
      </top>
      <bottom style="hair">
        <color rgb="FF000000"/>
      </bottom>
      <diagonal/>
    </border>
    <border>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thin">
        <color rgb="FF000000"/>
      </left>
      <right/>
      <top style="hair">
        <color rgb="FF000000"/>
      </top>
      <bottom/>
      <diagonal/>
    </border>
    <border>
      <left/>
      <right style="medium">
        <color rgb="FF000000"/>
      </right>
      <top style="hair">
        <color rgb="FF000000"/>
      </top>
      <bottom/>
      <diagonal/>
    </border>
    <border>
      <left style="medium">
        <color rgb="FF000000"/>
      </left>
      <right style="hair">
        <color rgb="FF000000"/>
      </right>
      <top style="hair">
        <color rgb="FF000000"/>
      </top>
      <bottom/>
      <diagonal/>
    </border>
    <border>
      <left style="thin">
        <color rgb="FF000000"/>
      </left>
      <right/>
      <top style="thin">
        <color rgb="FF000000"/>
      </top>
      <bottom style="thick">
        <color rgb="FF000000"/>
      </bottom>
      <diagonal/>
    </border>
    <border>
      <left/>
      <right style="medium">
        <color rgb="FF000000"/>
      </right>
      <top style="thin">
        <color rgb="FF000000"/>
      </top>
      <bottom style="thick">
        <color rgb="FF000000"/>
      </bottom>
      <diagonal/>
    </border>
    <border>
      <left style="medium">
        <color rgb="FF000000"/>
      </left>
      <right style="medium">
        <color rgb="FF000000"/>
      </right>
      <top style="thin">
        <color rgb="FF000000"/>
      </top>
      <bottom style="medium">
        <color rgb="FF000000"/>
      </bottom>
      <diagonal/>
    </border>
    <border>
      <left/>
      <right/>
      <top style="thick">
        <color rgb="FF000000"/>
      </top>
      <bottom style="thick">
        <color rgb="FF000000"/>
      </bottom>
      <diagonal/>
    </border>
    <border>
      <left/>
      <right/>
      <top style="thick">
        <color rgb="FF000000"/>
      </top>
      <bottom style="thick">
        <color rgb="FF000000"/>
      </bottom>
      <diagonal/>
    </border>
    <border>
      <left/>
      <right/>
      <top style="thick">
        <color rgb="FF000000"/>
      </top>
      <bottom style="thick">
        <color rgb="FF000000"/>
      </bottom>
      <diagonal/>
    </border>
    <border>
      <left style="medium">
        <color rgb="FF000000"/>
      </left>
      <right style="medium">
        <color rgb="FF000000"/>
      </right>
      <top style="thick">
        <color rgb="FF000000"/>
      </top>
      <bottom style="thick">
        <color rgb="FF000000"/>
      </bottom>
      <diagonal/>
    </border>
    <border>
      <left/>
      <right/>
      <top/>
      <bottom style="thick">
        <color rgb="FF000000"/>
      </bottom>
      <diagonal/>
    </border>
    <border>
      <left/>
      <right style="thick">
        <color rgb="FF000000"/>
      </right>
      <top/>
      <bottom style="thick">
        <color rgb="FF000000"/>
      </bottom>
      <diagonal/>
    </border>
    <border>
      <left/>
      <right/>
      <top style="thick">
        <color rgb="FF000000"/>
      </top>
      <bottom/>
      <diagonal/>
    </border>
    <border>
      <left/>
      <right style="medium">
        <color rgb="FF000000"/>
      </right>
      <top/>
      <bottom/>
      <diagonal/>
    </border>
    <border>
      <left style="medium">
        <color rgb="FF000000"/>
      </left>
      <right/>
      <top/>
      <bottom style="thin">
        <color rgb="FF000000"/>
      </bottom>
      <diagonal/>
    </border>
    <border>
      <left style="medium">
        <color rgb="FF000000"/>
      </left>
      <right style="medium">
        <color rgb="FF000000"/>
      </right>
      <top/>
      <bottom/>
      <diagonal/>
    </border>
    <border>
      <left style="thin">
        <color rgb="FF000000"/>
      </left>
      <right style="medium">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hair">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medium">
        <color rgb="FF000000"/>
      </right>
      <top style="hair">
        <color rgb="FF000000"/>
      </top>
      <bottom/>
      <diagonal/>
    </border>
    <border>
      <left style="medium">
        <color rgb="FF000000"/>
      </left>
      <right/>
      <top style="hair">
        <color rgb="FF000000"/>
      </top>
      <bottom/>
      <diagonal/>
    </border>
    <border>
      <left style="medium">
        <color rgb="FF000000"/>
      </left>
      <right style="medium">
        <color rgb="FF000000"/>
      </right>
      <top/>
      <bottom style="hair">
        <color rgb="FF000000"/>
      </bottom>
      <diagonal/>
    </border>
    <border>
      <left style="thin">
        <color rgb="FF000000"/>
      </left>
      <right style="thin">
        <color rgb="FF000000"/>
      </right>
      <top style="hair">
        <color rgb="FF000000"/>
      </top>
      <bottom/>
      <diagonal/>
    </border>
    <border>
      <left style="medium">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style="thin">
        <color rgb="FF000000"/>
      </left>
      <right style="medium">
        <color rgb="FF000000"/>
      </right>
      <top style="thin">
        <color rgb="FF000000"/>
      </top>
      <bottom style="thick">
        <color rgb="FF000000"/>
      </bottom>
      <diagonal/>
    </border>
    <border>
      <left style="medium">
        <color rgb="FF000000"/>
      </left>
      <right style="medium">
        <color rgb="FF000000"/>
      </right>
      <top style="thin">
        <color rgb="FF000000"/>
      </top>
      <bottom style="thick">
        <color rgb="FF000000"/>
      </bottom>
      <diagonal/>
    </border>
    <border>
      <left/>
      <right/>
      <top/>
      <bottom/>
      <diagonal/>
    </border>
    <border>
      <left/>
      <right/>
      <top/>
      <bottom/>
      <diagonal/>
    </border>
    <border>
      <left/>
      <right/>
      <top/>
      <bottom style="medium">
        <color rgb="FF000000"/>
      </bottom>
      <diagonal/>
    </border>
    <border>
      <left/>
      <right/>
      <top style="thick">
        <color rgb="FF000000"/>
      </top>
      <bottom style="medium">
        <color rgb="FF000000"/>
      </bottom>
      <diagonal/>
    </border>
    <border>
      <left style="thin">
        <color rgb="FF000000"/>
      </left>
      <right/>
      <top style="medium">
        <color rgb="FF000000"/>
      </top>
      <bottom/>
      <diagonal/>
    </border>
    <border>
      <left/>
      <right/>
      <top/>
      <bottom/>
      <diagonal/>
    </border>
    <border>
      <left style="thin">
        <color rgb="FF000000"/>
      </left>
      <right/>
      <top/>
      <bottom style="medium">
        <color rgb="FF000000"/>
      </bottom>
      <diagonal/>
    </border>
    <border>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style="hair">
        <color rgb="FF000000"/>
      </top>
      <bottom/>
      <diagonal/>
    </border>
    <border>
      <left style="medium">
        <color rgb="FF000000"/>
      </left>
      <right style="thin">
        <color rgb="FF000000"/>
      </right>
      <top style="hair">
        <color rgb="FF000000"/>
      </top>
      <bottom style="medium">
        <color rgb="FF000000"/>
      </bottom>
      <diagonal/>
    </border>
    <border>
      <left style="thin">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right/>
      <top style="medium">
        <color rgb="FF000000"/>
      </top>
      <bottom style="medium">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thin">
        <color rgb="FF000000"/>
      </bottom>
      <diagonal/>
    </border>
    <border>
      <left style="thin">
        <color rgb="FF000000"/>
      </left>
      <right/>
      <top/>
      <bottom/>
      <diagonal/>
    </border>
    <border>
      <left style="thin">
        <color rgb="FF000000"/>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style="hair">
        <color rgb="FF000000"/>
      </top>
      <bottom style="medium">
        <color rgb="FF000000"/>
      </bottom>
      <diagonal/>
    </border>
    <border>
      <left style="thin">
        <color rgb="FF000000"/>
      </left>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style="medium">
        <color rgb="FF000000"/>
      </left>
      <right style="medium">
        <color rgb="FF000000"/>
      </right>
      <top style="hair">
        <color rgb="FF000000"/>
      </top>
      <bottom style="medium">
        <color rgb="FF000000"/>
      </bottom>
      <diagonal/>
    </border>
    <border>
      <left/>
      <right/>
      <top style="hair">
        <color rgb="FF000000"/>
      </top>
      <bottom style="hair">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hair">
        <color rgb="FF000000"/>
      </bottom>
      <diagonal/>
    </border>
    <border>
      <left style="thin">
        <color rgb="FF000000"/>
      </left>
      <right style="thin">
        <color rgb="FF000000"/>
      </right>
      <top style="medium">
        <color rgb="FF000000"/>
      </top>
      <bottom style="thin">
        <color rgb="FF000000"/>
      </bottom>
      <diagonal/>
    </border>
    <border>
      <left/>
      <right style="thin">
        <color rgb="FF000000"/>
      </right>
      <top/>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medium">
        <color rgb="FF000000"/>
      </right>
      <top style="thin">
        <color rgb="FF000000"/>
      </top>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right/>
      <top style="hair">
        <color rgb="FF000000"/>
      </top>
      <bottom style="thin">
        <color rgb="FF000000"/>
      </bottom>
      <diagonal/>
    </border>
    <border>
      <left/>
      <right style="thin">
        <color rgb="FF000000"/>
      </right>
      <top/>
      <bottom style="hair">
        <color rgb="FF000000"/>
      </bottom>
      <diagonal/>
    </border>
    <border>
      <left style="medium">
        <color rgb="FF000000"/>
      </left>
      <right/>
      <top/>
      <bottom style="hair">
        <color rgb="FF000000"/>
      </bottom>
      <diagonal/>
    </border>
    <border>
      <left style="medium">
        <color rgb="FF000000"/>
      </left>
      <right style="thin">
        <color rgb="FF000000"/>
      </right>
      <top style="thick">
        <color rgb="FF000000"/>
      </top>
      <bottom style="thick">
        <color rgb="FF000000"/>
      </bottom>
      <diagonal/>
    </border>
    <border>
      <left style="thin">
        <color rgb="FF000000"/>
      </left>
      <right/>
      <top style="medium">
        <color rgb="FF000000"/>
      </top>
      <bottom style="medium">
        <color rgb="FF000000"/>
      </bottom>
      <diagonal/>
    </border>
    <border>
      <left/>
      <right style="thin">
        <color rgb="FF000000"/>
      </right>
      <top style="hair">
        <color rgb="FF000000"/>
      </top>
      <bottom style="hair">
        <color rgb="FF000000"/>
      </bottom>
      <diagonal/>
    </border>
    <border>
      <left/>
      <right/>
      <top/>
      <bottom style="hair">
        <color rgb="FF000000"/>
      </bottom>
      <diagonal/>
    </border>
    <border>
      <left/>
      <right style="medium">
        <color rgb="FF000000"/>
      </right>
      <top style="thick">
        <color rgb="FF000000"/>
      </top>
      <bottom style="thick">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style="hair">
        <color rgb="FF000000"/>
      </bottom>
      <diagonal/>
    </border>
    <border>
      <left/>
      <right/>
      <top style="thin">
        <color rgb="FF000000"/>
      </top>
      <bottom style="hair">
        <color rgb="FF000000"/>
      </bottom>
      <diagonal/>
    </border>
    <border>
      <left/>
      <right style="thin">
        <color rgb="FF000000"/>
      </right>
      <top style="hair">
        <color rgb="FF000000"/>
      </top>
      <bottom/>
      <diagonal/>
    </border>
    <border>
      <left/>
      <right style="thin">
        <color rgb="FF000000"/>
      </right>
      <top style="hair">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medium">
        <color indexed="64"/>
      </top>
      <bottom/>
      <diagonal/>
    </border>
    <border>
      <left style="medium">
        <color rgb="FF000000"/>
      </left>
      <right style="thin">
        <color rgb="FF000000"/>
      </right>
      <top style="medium">
        <color indexed="64"/>
      </top>
      <bottom/>
      <diagonal/>
    </border>
    <border>
      <left style="thin">
        <color rgb="FF000000"/>
      </left>
      <right style="medium">
        <color rgb="FF000000"/>
      </right>
      <top style="medium">
        <color indexed="64"/>
      </top>
      <bottom/>
      <diagonal/>
    </border>
    <border>
      <left/>
      <right/>
      <top style="medium">
        <color indexed="64"/>
      </top>
      <bottom/>
      <diagonal/>
    </border>
    <border>
      <left/>
      <right style="medium">
        <color rgb="FF000000"/>
      </right>
      <top style="medium">
        <color indexed="64"/>
      </top>
      <bottom/>
      <diagonal/>
    </border>
    <border>
      <left/>
      <right style="medium">
        <color indexed="64"/>
      </right>
      <top/>
      <bottom style="thin">
        <color indexed="64"/>
      </bottom>
      <diagonal/>
    </border>
    <border>
      <left style="medium">
        <color rgb="FF000000"/>
      </left>
      <right style="medium">
        <color indexed="64"/>
      </right>
      <top style="medium">
        <color rgb="FF000000"/>
      </top>
      <bottom style="thin">
        <color indexed="64"/>
      </bottom>
      <diagonal/>
    </border>
    <border>
      <left style="medium">
        <color rgb="FF000000"/>
      </left>
      <right style="thin">
        <color indexed="64"/>
      </right>
      <top style="hair">
        <color rgb="FF000000"/>
      </top>
      <bottom style="thin">
        <color rgb="FF000000"/>
      </bottom>
      <diagonal/>
    </border>
    <border>
      <left style="thin">
        <color indexed="64"/>
      </left>
      <right/>
      <top/>
      <bottom/>
      <diagonal/>
    </border>
    <border>
      <left/>
      <right style="thin">
        <color indexed="64"/>
      </right>
      <top/>
      <bottom/>
      <diagonal/>
    </border>
    <border>
      <left style="medium">
        <color rgb="FF000000"/>
      </left>
      <right style="thin">
        <color rgb="FF000000"/>
      </right>
      <top style="hair">
        <color indexed="64"/>
      </top>
      <bottom style="hair">
        <color rgb="FF000000"/>
      </bottom>
      <diagonal/>
    </border>
    <border>
      <left style="medium">
        <color rgb="FF000000"/>
      </left>
      <right style="thin">
        <color rgb="FF000000"/>
      </right>
      <top style="hair">
        <color indexed="64"/>
      </top>
      <bottom style="medium">
        <color rgb="FF000000"/>
      </bottom>
      <diagonal/>
    </border>
    <border>
      <left style="thin">
        <color rgb="FF000000"/>
      </left>
      <right style="thin">
        <color rgb="FF000000"/>
      </right>
      <top style="hair">
        <color indexed="64"/>
      </top>
      <bottom style="medium">
        <color rgb="FF000000"/>
      </bottom>
      <diagonal/>
    </border>
    <border>
      <left style="thin">
        <color rgb="FF000000"/>
      </left>
      <right/>
      <top style="hair">
        <color indexed="64"/>
      </top>
      <bottom style="medium">
        <color rgb="FF000000"/>
      </bottom>
      <diagonal/>
    </border>
    <border>
      <left style="thin">
        <color rgb="FF000000"/>
      </left>
      <right style="medium">
        <color rgb="FF000000"/>
      </right>
      <top style="hair">
        <color indexed="64"/>
      </top>
      <bottom style="medium">
        <color rgb="FF000000"/>
      </bottom>
      <diagonal/>
    </border>
    <border>
      <left/>
      <right/>
      <top style="medium">
        <color indexed="64"/>
      </top>
      <bottom style="medium">
        <color rgb="FF000000"/>
      </bottom>
      <diagonal/>
    </border>
    <border>
      <left style="thin">
        <color rgb="FF000000"/>
      </left>
      <right/>
      <top style="thin">
        <color indexed="64"/>
      </top>
      <bottom style="hair">
        <color rgb="FF000000"/>
      </bottom>
      <diagonal/>
    </border>
    <border>
      <left/>
      <right style="medium">
        <color rgb="FF000000"/>
      </right>
      <top style="thin">
        <color indexed="64"/>
      </top>
      <bottom style="hair">
        <color rgb="FF000000"/>
      </bottom>
      <diagonal/>
    </border>
    <border>
      <left/>
      <right style="medium">
        <color indexed="64"/>
      </right>
      <top/>
      <bottom style="thin">
        <color rgb="FF000000"/>
      </bottom>
      <diagonal/>
    </border>
    <border>
      <left style="medium">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top/>
      <bottom style="thick">
        <color rgb="FF000000"/>
      </bottom>
      <diagonal/>
    </border>
    <border>
      <left style="thin">
        <color rgb="FF000000"/>
      </left>
      <right style="medium">
        <color rgb="FF000000"/>
      </right>
      <top/>
      <bottom style="thick">
        <color rgb="FF000000"/>
      </bottom>
      <diagonal/>
    </border>
    <border>
      <left/>
      <right style="medium">
        <color rgb="FF000000"/>
      </right>
      <top/>
      <bottom style="thick">
        <color rgb="FF000000"/>
      </bottom>
      <diagonal/>
    </border>
    <border>
      <left style="medium">
        <color rgb="FF000000"/>
      </left>
      <right style="medium">
        <color rgb="FF000000"/>
      </right>
      <top/>
      <bottom style="thick">
        <color rgb="FF000000"/>
      </bottom>
      <diagonal/>
    </border>
    <border>
      <left style="medium">
        <color rgb="FF000000"/>
      </left>
      <right style="medium">
        <color rgb="FF000000"/>
      </right>
      <top style="thin">
        <color indexed="64"/>
      </top>
      <bottom/>
      <diagonal/>
    </border>
    <border>
      <left style="medium">
        <color indexed="64"/>
      </left>
      <right style="thin">
        <color rgb="FF000000"/>
      </right>
      <top style="hair">
        <color indexed="64"/>
      </top>
      <bottom style="thin">
        <color indexed="64"/>
      </bottom>
      <diagonal/>
    </border>
    <border>
      <left style="thin">
        <color rgb="FF000000"/>
      </left>
      <right style="thin">
        <color rgb="FF000000"/>
      </right>
      <top style="hair">
        <color indexed="64"/>
      </top>
      <bottom style="thin">
        <color indexed="64"/>
      </bottom>
      <diagonal/>
    </border>
    <border>
      <left style="thin">
        <color rgb="FF000000"/>
      </left>
      <right style="medium">
        <color rgb="FF000000"/>
      </right>
      <top style="hair">
        <color indexed="64"/>
      </top>
      <bottom style="thin">
        <color indexed="64"/>
      </bottom>
      <diagonal/>
    </border>
    <border>
      <left style="medium">
        <color rgb="FF000000"/>
      </left>
      <right style="medium">
        <color rgb="FF000000"/>
      </right>
      <top style="hair">
        <color indexed="64"/>
      </top>
      <bottom style="thin">
        <color indexed="64"/>
      </bottom>
      <diagonal/>
    </border>
    <border>
      <left style="medium">
        <color rgb="FF000000"/>
      </left>
      <right style="medium">
        <color rgb="FF000000"/>
      </right>
      <top style="medium">
        <color rgb="FF000000"/>
      </top>
      <bottom style="hair">
        <color rgb="FF000000"/>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style="medium">
        <color indexed="64"/>
      </top>
      <bottom/>
      <diagonal/>
    </border>
    <border>
      <left style="medium">
        <color indexed="64"/>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000000"/>
      </left>
      <right/>
      <top/>
      <bottom style="hair">
        <color indexed="64"/>
      </bottom>
      <diagonal/>
    </border>
    <border>
      <left/>
      <right style="medium">
        <color rgb="FF000000"/>
      </right>
      <top/>
      <bottom style="hair">
        <color indexed="64"/>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top/>
      <bottom style="thin">
        <color rgb="FF000000"/>
      </bottom>
      <diagonal/>
    </border>
    <border>
      <left style="thin">
        <color rgb="FF000000"/>
      </left>
      <right style="medium">
        <color indexed="64"/>
      </right>
      <top/>
      <bottom style="thin">
        <color rgb="FF000000"/>
      </bottom>
      <diagonal/>
    </border>
    <border>
      <left style="medium">
        <color indexed="64"/>
      </left>
      <right/>
      <top style="thin">
        <color rgb="FF000000"/>
      </top>
      <bottom style="thin">
        <color rgb="FF000000"/>
      </bottom>
      <diagonal/>
    </border>
    <border>
      <left style="thin">
        <color rgb="FF000000"/>
      </left>
      <right style="medium">
        <color indexed="64"/>
      </right>
      <top style="thin">
        <color rgb="FF000000"/>
      </top>
      <bottom/>
      <diagonal/>
    </border>
    <border>
      <left style="medium">
        <color indexed="64"/>
      </left>
      <right/>
      <top style="thin">
        <color rgb="FF000000"/>
      </top>
      <bottom/>
      <diagonal/>
    </border>
    <border>
      <left/>
      <right style="medium">
        <color indexed="64"/>
      </right>
      <top style="thin">
        <color rgb="FF000000"/>
      </top>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indexed="64"/>
      </right>
      <top style="thin">
        <color rgb="FF000000"/>
      </top>
      <bottom style="thin">
        <color rgb="FF000000"/>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style="medium">
        <color indexed="64"/>
      </left>
      <right/>
      <top style="thin">
        <color rgb="FF000000"/>
      </top>
      <bottom style="medium">
        <color indexed="64"/>
      </bottom>
      <diagonal/>
    </border>
    <border>
      <left/>
      <right style="medium">
        <color rgb="FF000000"/>
      </right>
      <top style="medium">
        <color indexed="64"/>
      </top>
      <bottom style="medium">
        <color indexed="64"/>
      </bottom>
      <diagonal/>
    </border>
    <border>
      <left/>
      <right style="thin">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rgb="FF000000"/>
      </left>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thin">
        <color rgb="FF000000"/>
      </left>
      <right/>
      <top style="medium">
        <color indexed="64"/>
      </top>
      <bottom/>
      <diagonal/>
    </border>
    <border>
      <left style="thin">
        <color rgb="FF000000"/>
      </left>
      <right style="medium">
        <color indexed="64"/>
      </right>
      <top/>
      <bottom/>
      <diagonal/>
    </border>
    <border>
      <left style="thin">
        <color rgb="FF000000"/>
      </left>
      <right/>
      <top/>
      <bottom style="medium">
        <color indexed="64"/>
      </bottom>
      <diagonal/>
    </border>
    <border>
      <left/>
      <right style="thin">
        <color rgb="FF000000"/>
      </right>
      <top/>
      <bottom style="medium">
        <color indexed="64"/>
      </bottom>
      <diagonal/>
    </border>
    <border>
      <left style="thin">
        <color rgb="FF000000"/>
      </left>
      <right style="thin">
        <color rgb="FF000000"/>
      </right>
      <top/>
      <bottom style="medium">
        <color indexed="64"/>
      </bottom>
      <diagonal/>
    </border>
    <border>
      <left/>
      <right/>
      <top style="hair">
        <color rgb="FF000000"/>
      </top>
      <bottom style="medium">
        <color rgb="FF000000"/>
      </bottom>
      <diagonal/>
    </border>
    <border>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top/>
      <bottom style="medium">
        <color rgb="FF000000"/>
      </bottom>
      <diagonal/>
    </border>
    <border>
      <left style="thin">
        <color rgb="FF000000"/>
      </left>
      <right style="thin">
        <color rgb="FF000000"/>
      </right>
      <top/>
      <bottom style="medium">
        <color rgb="FF000000"/>
      </bottom>
      <diagonal/>
    </border>
    <border>
      <left style="thick">
        <color rgb="FF000000"/>
      </left>
      <right style="medium">
        <color rgb="FF000000"/>
      </right>
      <top/>
      <bottom style="medium">
        <color rgb="FF000000"/>
      </bottom>
      <diagonal/>
    </border>
    <border>
      <left/>
      <right/>
      <top style="thin">
        <color rgb="FF000000"/>
      </top>
      <bottom style="medium">
        <color rgb="FF000000"/>
      </bottom>
      <diagonal/>
    </border>
    <border>
      <left/>
      <right style="thick">
        <color rgb="FF000000"/>
      </right>
      <top/>
      <bottom style="medium">
        <color rgb="FF000000"/>
      </bottom>
      <diagonal/>
    </border>
    <border>
      <left/>
      <right style="thick">
        <color rgb="FF000000"/>
      </right>
      <top style="thin">
        <color rgb="FF000000"/>
      </top>
      <bottom style="thin">
        <color rgb="FF000000"/>
      </bottom>
      <diagonal/>
    </border>
    <border>
      <left style="thick">
        <color rgb="FF000000"/>
      </left>
      <right style="medium">
        <color rgb="FF000000"/>
      </right>
      <top style="thin">
        <color rgb="FF000000"/>
      </top>
      <bottom style="thin">
        <color rgb="FF000000"/>
      </bottom>
      <diagonal/>
    </border>
    <border>
      <left style="medium">
        <color rgb="FF000000"/>
      </left>
      <right/>
      <top style="thin">
        <color rgb="FF000000"/>
      </top>
      <bottom style="hair">
        <color rgb="FF000000"/>
      </bottom>
      <diagonal/>
    </border>
    <border>
      <left/>
      <right style="thin">
        <color rgb="FF000000"/>
      </right>
      <top/>
      <bottom style="medium">
        <color rgb="FF000000"/>
      </bottom>
      <diagonal/>
    </border>
    <border>
      <left style="medium">
        <color rgb="FF000000"/>
      </left>
      <right style="medium">
        <color rgb="FF000000"/>
      </right>
      <top/>
      <bottom style="thin">
        <color indexed="64"/>
      </bottom>
      <diagonal/>
    </border>
  </borders>
  <cellStyleXfs count="2">
    <xf numFmtId="0" fontId="0" fillId="0" borderId="0"/>
    <xf numFmtId="0" fontId="41" fillId="0" borderId="0" applyNumberFormat="0" applyFill="0" applyBorder="0" applyAlignment="0" applyProtection="0"/>
  </cellStyleXfs>
  <cellXfs count="1741">
    <xf numFmtId="0" fontId="0" fillId="0" borderId="0" xfId="0" applyFont="1" applyAlignment="1"/>
    <xf numFmtId="0" fontId="4" fillId="0" borderId="8" xfId="0" applyFont="1" applyBorder="1"/>
    <xf numFmtId="0" fontId="5" fillId="0" borderId="8" xfId="0" applyFont="1" applyBorder="1"/>
    <xf numFmtId="0" fontId="4" fillId="0" borderId="0" xfId="0" applyFont="1"/>
    <xf numFmtId="0" fontId="5" fillId="0" borderId="0" xfId="0" applyFont="1"/>
    <xf numFmtId="0" fontId="5" fillId="0" borderId="0" xfId="0" applyFont="1" applyAlignment="1">
      <alignment vertical="center"/>
    </xf>
    <xf numFmtId="0" fontId="1" fillId="0" borderId="0" xfId="0" applyFont="1"/>
    <xf numFmtId="0" fontId="4" fillId="0" borderId="0" xfId="0" applyFont="1" applyAlignment="1">
      <alignment vertical="center"/>
    </xf>
    <xf numFmtId="0" fontId="12" fillId="0" borderId="0" xfId="0" applyFont="1"/>
    <xf numFmtId="0" fontId="4" fillId="3" borderId="0" xfId="0" applyFont="1" applyFill="1"/>
    <xf numFmtId="0" fontId="5" fillId="3" borderId="0" xfId="0" applyFont="1" applyFill="1"/>
    <xf numFmtId="0" fontId="5" fillId="0" borderId="0" xfId="0" applyFont="1" applyAlignment="1">
      <alignment horizontal="center" vertical="center"/>
    </xf>
    <xf numFmtId="0" fontId="12" fillId="0" borderId="0" xfId="0" applyFont="1" applyAlignment="1">
      <alignment vertical="center"/>
    </xf>
    <xf numFmtId="0" fontId="5" fillId="0" borderId="0" xfId="0" applyFont="1" applyAlignment="1">
      <alignment horizontal="left" vertical="top"/>
    </xf>
    <xf numFmtId="0" fontId="18" fillId="0" borderId="0" xfId="0" applyFont="1" applyAlignment="1"/>
    <xf numFmtId="0" fontId="7" fillId="0" borderId="0" xfId="0" applyFont="1" applyAlignment="1">
      <alignment horizontal="left" vertical="center"/>
    </xf>
    <xf numFmtId="0" fontId="16" fillId="0" borderId="10" xfId="0" applyFont="1" applyBorder="1" applyAlignment="1">
      <alignment horizontal="left" vertical="center" wrapText="1"/>
    </xf>
    <xf numFmtId="0" fontId="5" fillId="0" borderId="53" xfId="0" applyFont="1" applyBorder="1" applyAlignment="1">
      <alignment horizontal="left" vertical="center" wrapText="1"/>
    </xf>
    <xf numFmtId="0" fontId="5" fillId="0" borderId="63" xfId="0" applyFont="1" applyBorder="1" applyAlignment="1">
      <alignment horizontal="left" vertical="center" wrapText="1"/>
    </xf>
    <xf numFmtId="0" fontId="5" fillId="0" borderId="64" xfId="0" applyFont="1" applyBorder="1" applyAlignment="1">
      <alignment horizontal="left" vertical="center" wrapText="1"/>
    </xf>
    <xf numFmtId="0" fontId="5" fillId="4" borderId="69" xfId="0" applyFont="1" applyFill="1" applyBorder="1"/>
    <xf numFmtId="0" fontId="5" fillId="4" borderId="70" xfId="0" applyFont="1" applyFill="1" applyBorder="1" applyAlignment="1">
      <alignment horizontal="left" vertical="center"/>
    </xf>
    <xf numFmtId="0" fontId="5" fillId="3" borderId="69" xfId="0" applyFont="1" applyFill="1" applyBorder="1" applyAlignment="1">
      <alignment horizontal="left" vertical="center"/>
    </xf>
    <xf numFmtId="0" fontId="5" fillId="3" borderId="70" xfId="0" applyFont="1" applyFill="1" applyBorder="1" applyAlignment="1">
      <alignment horizontal="left" vertical="center"/>
    </xf>
    <xf numFmtId="0" fontId="5" fillId="3" borderId="0" xfId="0" applyFont="1" applyFill="1" applyAlignment="1"/>
    <xf numFmtId="0" fontId="19" fillId="4" borderId="75" xfId="0" applyFont="1" applyFill="1" applyBorder="1" applyAlignment="1">
      <alignment horizontal="center" vertical="center"/>
    </xf>
    <xf numFmtId="0" fontId="19" fillId="4" borderId="76" xfId="0" applyFont="1" applyFill="1" applyBorder="1" applyAlignment="1">
      <alignment horizontal="center" vertical="center"/>
    </xf>
    <xf numFmtId="0" fontId="19" fillId="3" borderId="75" xfId="0" applyFont="1" applyFill="1" applyBorder="1" applyAlignment="1">
      <alignment horizontal="center" vertical="center"/>
    </xf>
    <xf numFmtId="0" fontId="19" fillId="3" borderId="76" xfId="0" applyFont="1" applyFill="1" applyBorder="1" applyAlignment="1">
      <alignment horizontal="center" vertical="center"/>
    </xf>
    <xf numFmtId="0" fontId="5" fillId="3" borderId="0" xfId="0" applyFont="1" applyFill="1" applyAlignment="1">
      <alignment horizontal="left"/>
    </xf>
    <xf numFmtId="0" fontId="12" fillId="5" borderId="81" xfId="0" applyFont="1" applyFill="1" applyBorder="1"/>
    <xf numFmtId="164" fontId="12" fillId="0" borderId="29" xfId="0" applyNumberFormat="1" applyFont="1" applyBorder="1" applyAlignment="1">
      <alignment horizontal="center" vertical="center"/>
    </xf>
    <xf numFmtId="0" fontId="5" fillId="0" borderId="67" xfId="0" applyFont="1" applyBorder="1" applyAlignment="1">
      <alignment horizontal="left" vertical="center"/>
    </xf>
    <xf numFmtId="164" fontId="5" fillId="0" borderId="29" xfId="0" applyNumberFormat="1" applyFont="1" applyBorder="1" applyAlignment="1">
      <alignment horizontal="center" vertical="center"/>
    </xf>
    <xf numFmtId="0" fontId="21" fillId="0" borderId="64" xfId="0" applyFont="1" applyBorder="1" applyAlignment="1">
      <alignment horizontal="left" vertical="center"/>
    </xf>
    <xf numFmtId="164" fontId="5" fillId="0" borderId="34" xfId="0" applyNumberFormat="1" applyFont="1" applyBorder="1" applyAlignment="1">
      <alignment horizontal="center" vertical="center"/>
    </xf>
    <xf numFmtId="0" fontId="5" fillId="0" borderId="63" xfId="0" applyFont="1" applyBorder="1" applyAlignment="1">
      <alignment horizontal="center" vertical="center" wrapText="1"/>
    </xf>
    <xf numFmtId="0" fontId="5" fillId="0" borderId="105" xfId="0" applyFont="1" applyBorder="1" applyAlignment="1">
      <alignment horizontal="left" vertical="center" wrapText="1"/>
    </xf>
    <xf numFmtId="0" fontId="16" fillId="0" borderId="0" xfId="0" applyFont="1"/>
    <xf numFmtId="164" fontId="12" fillId="0" borderId="34" xfId="0" applyNumberFormat="1" applyFont="1" applyBorder="1" applyAlignment="1">
      <alignment horizontal="center" vertical="center"/>
    </xf>
    <xf numFmtId="164" fontId="12" fillId="4" borderId="64" xfId="0" applyNumberFormat="1" applyFont="1" applyFill="1" applyBorder="1" applyAlignment="1">
      <alignment horizontal="center" wrapText="1"/>
    </xf>
    <xf numFmtId="164" fontId="12" fillId="0" borderId="11" xfId="0" applyNumberFormat="1" applyFont="1" applyBorder="1" applyAlignment="1">
      <alignment horizontal="center"/>
    </xf>
    <xf numFmtId="164" fontId="12" fillId="0" borderId="34" xfId="0" applyNumberFormat="1" applyFont="1" applyBorder="1" applyAlignment="1">
      <alignment horizontal="center"/>
    </xf>
    <xf numFmtId="0" fontId="5" fillId="0" borderId="63" xfId="0" applyFont="1" applyBorder="1" applyAlignment="1">
      <alignment horizontal="left" wrapText="1"/>
    </xf>
    <xf numFmtId="0" fontId="16" fillId="6" borderId="114" xfId="0" applyFont="1" applyFill="1" applyBorder="1" applyAlignment="1">
      <alignment horizontal="left" vertical="center" wrapText="1"/>
    </xf>
    <xf numFmtId="0" fontId="21" fillId="0" borderId="60" xfId="0" applyFont="1" applyBorder="1" applyAlignment="1">
      <alignment horizontal="left" vertical="center" wrapText="1"/>
    </xf>
    <xf numFmtId="0" fontId="5" fillId="0" borderId="89" xfId="0" applyFont="1" applyBorder="1" applyAlignment="1">
      <alignment horizontal="center" vertical="center" wrapText="1"/>
    </xf>
    <xf numFmtId="164" fontId="12" fillId="0" borderId="15" xfId="0" applyNumberFormat="1" applyFont="1" applyBorder="1" applyAlignment="1">
      <alignment horizontal="center" vertical="center"/>
    </xf>
    <xf numFmtId="0" fontId="16" fillId="0" borderId="90" xfId="0" applyFont="1" applyBorder="1" applyAlignment="1">
      <alignment horizontal="right" vertical="center"/>
    </xf>
    <xf numFmtId="0" fontId="5" fillId="0" borderId="90" xfId="0" applyFont="1" applyBorder="1" applyAlignment="1">
      <alignment horizontal="right" vertical="center"/>
    </xf>
    <xf numFmtId="0" fontId="5" fillId="0" borderId="124" xfId="0" applyFont="1" applyBorder="1" applyAlignment="1">
      <alignment horizontal="right" vertical="center"/>
    </xf>
    <xf numFmtId="0" fontId="5" fillId="0" borderId="29" xfId="0" applyFont="1" applyBorder="1" applyAlignment="1">
      <alignment horizontal="center" vertical="center" wrapText="1"/>
    </xf>
    <xf numFmtId="0" fontId="5" fillId="0" borderId="88" xfId="0" applyFont="1" applyBorder="1" applyAlignment="1">
      <alignment horizontal="center" vertical="center" wrapText="1"/>
    </xf>
    <xf numFmtId="0" fontId="21" fillId="0" borderId="0" xfId="0" applyFont="1" applyAlignment="1">
      <alignment vertical="center"/>
    </xf>
    <xf numFmtId="0" fontId="25" fillId="0" borderId="60" xfId="0" applyFont="1" applyBorder="1" applyAlignment="1">
      <alignment horizontal="left" vertical="center" wrapText="1"/>
    </xf>
    <xf numFmtId="0" fontId="25" fillId="0" borderId="67" xfId="0" applyFont="1" applyBorder="1" applyAlignment="1">
      <alignment horizontal="right" vertical="center"/>
    </xf>
    <xf numFmtId="0" fontId="5" fillId="0" borderId="137" xfId="0" applyFont="1" applyBorder="1" applyAlignment="1">
      <alignment horizontal="center" vertical="center" wrapText="1"/>
    </xf>
    <xf numFmtId="0" fontId="5" fillId="0" borderId="140" xfId="0" applyFont="1" applyBorder="1" applyAlignment="1">
      <alignment horizontal="center" vertical="center" wrapText="1"/>
    </xf>
    <xf numFmtId="0" fontId="25" fillId="0" borderId="90" xfId="0" applyFont="1" applyBorder="1" applyAlignment="1">
      <alignment horizontal="right" vertical="center"/>
    </xf>
    <xf numFmtId="0" fontId="5" fillId="0" borderId="103" xfId="0" applyFont="1" applyBorder="1" applyAlignment="1">
      <alignment horizontal="center" vertical="center" wrapText="1"/>
    </xf>
    <xf numFmtId="0" fontId="5" fillId="0" borderId="143" xfId="0" applyFont="1" applyBorder="1" applyAlignment="1">
      <alignment horizontal="left" vertical="center" wrapText="1"/>
    </xf>
    <xf numFmtId="164" fontId="12" fillId="4" borderId="147" xfId="0" applyNumberFormat="1" applyFont="1" applyFill="1" applyBorder="1" applyAlignment="1">
      <alignment horizontal="center" vertical="center"/>
    </xf>
    <xf numFmtId="164" fontId="12" fillId="4" borderId="148" xfId="0" applyNumberFormat="1" applyFont="1" applyFill="1" applyBorder="1" applyAlignment="1">
      <alignment horizontal="center" vertical="top"/>
    </xf>
    <xf numFmtId="0" fontId="16" fillId="4" borderId="149" xfId="0" applyFont="1" applyFill="1" applyBorder="1" applyAlignment="1">
      <alignment horizontal="left" vertical="center" wrapText="1"/>
    </xf>
    <xf numFmtId="164" fontId="5" fillId="0" borderId="11" xfId="0" applyNumberFormat="1" applyFont="1" applyBorder="1" applyAlignment="1">
      <alignment horizontal="left" vertical="center" wrapText="1"/>
    </xf>
    <xf numFmtId="0" fontId="2" fillId="5" borderId="81" xfId="0" applyFont="1" applyFill="1" applyBorder="1" applyAlignment="1">
      <alignment vertical="top" wrapText="1"/>
    </xf>
    <xf numFmtId="0" fontId="12" fillId="5" borderId="81" xfId="0" applyFont="1" applyFill="1" applyBorder="1" applyAlignment="1">
      <alignment horizontal="center" vertical="center"/>
    </xf>
    <xf numFmtId="0" fontId="12" fillId="5" borderId="81" xfId="0" applyFont="1" applyFill="1" applyBorder="1" applyAlignment="1">
      <alignment horizontal="center"/>
    </xf>
    <xf numFmtId="164" fontId="12" fillId="5" borderId="81" xfId="0" applyNumberFormat="1" applyFont="1" applyFill="1" applyBorder="1" applyAlignment="1">
      <alignment horizontal="center" vertical="center"/>
    </xf>
    <xf numFmtId="0" fontId="5" fillId="0" borderId="105" xfId="0" applyFont="1" applyBorder="1" applyAlignment="1">
      <alignment horizontal="center" vertical="center" wrapText="1"/>
    </xf>
    <xf numFmtId="164" fontId="12" fillId="0" borderId="131" xfId="0" applyNumberFormat="1" applyFont="1" applyBorder="1" applyAlignment="1">
      <alignment horizontal="center" vertical="center"/>
    </xf>
    <xf numFmtId="0" fontId="5" fillId="0" borderId="166" xfId="0" applyFont="1" applyBorder="1" applyAlignment="1">
      <alignment horizontal="center" vertical="center" wrapText="1"/>
    </xf>
    <xf numFmtId="0" fontId="2" fillId="5" borderId="81" xfId="0" applyFont="1" applyFill="1" applyBorder="1" applyAlignment="1">
      <alignment vertical="center" wrapText="1"/>
    </xf>
    <xf numFmtId="164" fontId="12" fillId="0" borderId="56" xfId="0" applyNumberFormat="1" applyFont="1" applyBorder="1" applyAlignment="1">
      <alignment horizontal="center" vertical="center"/>
    </xf>
    <xf numFmtId="0" fontId="16" fillId="0" borderId="9" xfId="0" applyFont="1" applyBorder="1" applyAlignment="1">
      <alignment horizontal="left" vertical="center"/>
    </xf>
    <xf numFmtId="0" fontId="5" fillId="0" borderId="173" xfId="0" applyFont="1" applyBorder="1" applyAlignment="1">
      <alignment horizontal="left" vertical="center" wrapText="1"/>
    </xf>
    <xf numFmtId="0" fontId="12" fillId="4" borderId="176" xfId="0" applyFont="1" applyFill="1" applyBorder="1" applyAlignment="1">
      <alignment horizontal="center" vertical="top"/>
    </xf>
    <xf numFmtId="0" fontId="16" fillId="4" borderId="38" xfId="0" applyFont="1" applyFill="1" applyBorder="1" applyAlignment="1">
      <alignment horizontal="left" vertical="center" wrapText="1"/>
    </xf>
    <xf numFmtId="0" fontId="5" fillId="3" borderId="178" xfId="0" applyFont="1" applyFill="1" applyBorder="1" applyAlignment="1">
      <alignment horizontal="left" vertical="center"/>
    </xf>
    <xf numFmtId="0" fontId="19" fillId="3" borderId="180" xfId="0" applyFont="1" applyFill="1" applyBorder="1" applyAlignment="1">
      <alignment horizontal="center" vertical="center"/>
    </xf>
    <xf numFmtId="0" fontId="5" fillId="0" borderId="61" xfId="0" applyFont="1" applyBorder="1" applyAlignment="1">
      <alignment horizontal="left" vertical="center" wrapText="1"/>
    </xf>
    <xf numFmtId="0" fontId="21" fillId="0" borderId="64" xfId="0" applyFont="1" applyBorder="1" applyAlignment="1">
      <alignment horizontal="left" vertical="center" wrapText="1"/>
    </xf>
    <xf numFmtId="0" fontId="16" fillId="0" borderId="60" xfId="0" applyFont="1" applyBorder="1" applyAlignment="1">
      <alignment horizontal="left" vertical="center" wrapText="1"/>
    </xf>
    <xf numFmtId="0" fontId="16" fillId="0" borderId="186" xfId="0" applyFont="1" applyBorder="1" applyAlignment="1">
      <alignment horizontal="right" vertical="center"/>
    </xf>
    <xf numFmtId="0" fontId="5" fillId="6" borderId="80" xfId="0" applyFont="1" applyFill="1" applyBorder="1"/>
    <xf numFmtId="0" fontId="5" fillId="6" borderId="81" xfId="0" applyFont="1" applyFill="1" applyBorder="1"/>
    <xf numFmtId="0" fontId="16" fillId="0" borderId="60" xfId="0" applyFont="1" applyBorder="1" applyAlignment="1">
      <alignment horizontal="left" vertical="center"/>
    </xf>
    <xf numFmtId="164" fontId="5" fillId="0" borderId="15" xfId="0" applyNumberFormat="1" applyFont="1" applyBorder="1" applyAlignment="1">
      <alignment horizontal="center" vertical="center"/>
    </xf>
    <xf numFmtId="0" fontId="16" fillId="0" borderId="67" xfId="0" applyFont="1" applyBorder="1" applyAlignment="1">
      <alignment horizontal="right" vertical="center"/>
    </xf>
    <xf numFmtId="0" fontId="5" fillId="0" borderId="67" xfId="0" applyFont="1" applyBorder="1" applyAlignment="1">
      <alignment horizontal="right" vertical="center"/>
    </xf>
    <xf numFmtId="0" fontId="16" fillId="0" borderId="64" xfId="0" applyFont="1" applyBorder="1" applyAlignment="1">
      <alignment horizontal="left" vertical="center"/>
    </xf>
    <xf numFmtId="0" fontId="5" fillId="0" borderId="61" xfId="0" applyFont="1" applyBorder="1" applyAlignment="1">
      <alignment horizontal="center" vertical="center" wrapText="1"/>
    </xf>
    <xf numFmtId="0" fontId="16" fillId="0" borderId="90" xfId="0" applyFont="1" applyBorder="1" applyAlignment="1">
      <alignment vertical="center"/>
    </xf>
    <xf numFmtId="0" fontId="16" fillId="0" borderId="67" xfId="0" applyFont="1" applyBorder="1" applyAlignment="1">
      <alignment vertical="center"/>
    </xf>
    <xf numFmtId="0" fontId="5" fillId="0" borderId="205" xfId="0" applyFont="1" applyBorder="1" applyAlignment="1">
      <alignment horizontal="center" vertical="center" wrapText="1"/>
    </xf>
    <xf numFmtId="0" fontId="29" fillId="6" borderId="81" xfId="0" applyFont="1" applyFill="1" applyBorder="1" applyAlignment="1">
      <alignment horizontal="left" vertical="center"/>
    </xf>
    <xf numFmtId="0" fontId="29" fillId="6" borderId="81" xfId="0" applyFont="1" applyFill="1" applyBorder="1" applyAlignment="1">
      <alignment horizontal="center" vertical="center"/>
    </xf>
    <xf numFmtId="0" fontId="29" fillId="6" borderId="81" xfId="0" applyFont="1" applyFill="1" applyBorder="1" applyAlignment="1">
      <alignment vertical="center" wrapText="1"/>
    </xf>
    <xf numFmtId="0" fontId="12" fillId="6" borderId="81" xfId="0" applyFont="1" applyFill="1" applyBorder="1" applyAlignment="1">
      <alignment horizontal="center" vertical="center"/>
    </xf>
    <xf numFmtId="164" fontId="12" fillId="6" borderId="68" xfId="0" applyNumberFormat="1" applyFont="1" applyFill="1" applyBorder="1" applyAlignment="1">
      <alignment horizontal="center" vertical="center"/>
    </xf>
    <xf numFmtId="0" fontId="5" fillId="0" borderId="64" xfId="0" applyFont="1" applyBorder="1" applyAlignment="1">
      <alignment horizontal="left" vertical="center"/>
    </xf>
    <xf numFmtId="0" fontId="5" fillId="0" borderId="62" xfId="0" applyFont="1" applyBorder="1" applyAlignment="1">
      <alignment horizontal="right" vertical="center"/>
    </xf>
    <xf numFmtId="0" fontId="5" fillId="0" borderId="160" xfId="0" applyFont="1" applyBorder="1" applyAlignment="1">
      <alignment horizontal="left" vertical="center"/>
    </xf>
    <xf numFmtId="0" fontId="5" fillId="0" borderId="208" xfId="0" applyFont="1" applyBorder="1" applyAlignment="1">
      <alignment horizontal="center" vertical="center" wrapText="1"/>
    </xf>
    <xf numFmtId="0" fontId="5" fillId="0" borderId="208" xfId="0" applyFont="1" applyBorder="1" applyAlignment="1">
      <alignment horizontal="left" vertical="center" wrapText="1"/>
    </xf>
    <xf numFmtId="0" fontId="16" fillId="0" borderId="156" xfId="0" applyFont="1" applyBorder="1" applyAlignment="1">
      <alignment horizontal="right" vertical="center"/>
    </xf>
    <xf numFmtId="0" fontId="16" fillId="0" borderId="64" xfId="0" applyFont="1" applyBorder="1" applyAlignment="1">
      <alignment horizontal="left" vertical="center" wrapText="1"/>
    </xf>
    <xf numFmtId="0" fontId="16" fillId="0" borderId="183" xfId="0" applyFont="1" applyBorder="1" applyAlignment="1">
      <alignment horizontal="left" vertical="center" wrapText="1"/>
    </xf>
    <xf numFmtId="0" fontId="5" fillId="0" borderId="6" xfId="0" applyFont="1" applyBorder="1" applyAlignment="1">
      <alignment horizontal="center" vertical="center" wrapText="1"/>
    </xf>
    <xf numFmtId="164" fontId="5" fillId="0" borderId="17" xfId="0" applyNumberFormat="1" applyFont="1" applyBorder="1" applyAlignment="1">
      <alignment horizontal="center" vertical="center"/>
    </xf>
    <xf numFmtId="0" fontId="16" fillId="0" borderId="92" xfId="0" applyFont="1" applyBorder="1" applyAlignment="1">
      <alignment horizontal="right" vertical="center"/>
    </xf>
    <xf numFmtId="0" fontId="16" fillId="0" borderId="168" xfId="0" applyFont="1" applyBorder="1" applyAlignment="1">
      <alignment horizontal="right" vertical="center"/>
    </xf>
    <xf numFmtId="0" fontId="5" fillId="0" borderId="129" xfId="0" applyFont="1" applyBorder="1" applyAlignment="1">
      <alignment horizontal="center" vertical="center" wrapText="1"/>
    </xf>
    <xf numFmtId="0" fontId="16" fillId="0" borderId="160" xfId="0" applyFont="1" applyBorder="1" applyAlignment="1">
      <alignment horizontal="left" vertical="center" wrapText="1"/>
    </xf>
    <xf numFmtId="0" fontId="5" fillId="0" borderId="139" xfId="0" applyFont="1" applyBorder="1" applyAlignment="1">
      <alignment horizontal="center" vertical="center" wrapText="1"/>
    </xf>
    <xf numFmtId="0" fontId="16" fillId="0" borderId="28" xfId="0" applyFont="1" applyBorder="1" applyAlignment="1">
      <alignment horizontal="left" vertical="center" wrapText="1"/>
    </xf>
    <xf numFmtId="164" fontId="5" fillId="0" borderId="18" xfId="0" applyNumberFormat="1" applyFont="1" applyBorder="1" applyAlignment="1">
      <alignment horizontal="center" vertical="center"/>
    </xf>
    <xf numFmtId="0" fontId="16" fillId="0" borderId="124" xfId="0" applyFont="1" applyBorder="1" applyAlignment="1">
      <alignment horizontal="right" vertical="center"/>
    </xf>
    <xf numFmtId="0" fontId="12" fillId="4" borderId="211" xfId="0" applyFont="1" applyFill="1" applyBorder="1" applyAlignment="1">
      <alignment horizontal="center" vertical="top"/>
    </xf>
    <xf numFmtId="0" fontId="16" fillId="4" borderId="212" xfId="0" applyFont="1" applyFill="1" applyBorder="1" applyAlignment="1">
      <alignment horizontal="left" vertical="center" wrapText="1"/>
    </xf>
    <xf numFmtId="0" fontId="29" fillId="5" borderId="176" xfId="0" applyFont="1" applyFill="1" applyBorder="1" applyAlignment="1">
      <alignment horizontal="left" vertical="center"/>
    </xf>
    <xf numFmtId="0" fontId="29" fillId="5" borderId="176" xfId="0" applyFont="1" applyFill="1" applyBorder="1" applyAlignment="1">
      <alignment horizontal="center" vertical="center"/>
    </xf>
    <xf numFmtId="0" fontId="29" fillId="5" borderId="176" xfId="0" applyFont="1" applyFill="1" applyBorder="1" applyAlignment="1">
      <alignment vertical="top" wrapText="1"/>
    </xf>
    <xf numFmtId="0" fontId="16" fillId="0" borderId="53" xfId="0" applyFont="1" applyBorder="1" applyAlignment="1">
      <alignment horizontal="left" vertical="center"/>
    </xf>
    <xf numFmtId="0" fontId="5" fillId="0" borderId="57" xfId="0" applyFont="1" applyBorder="1" applyAlignment="1">
      <alignment horizontal="center" vertical="center"/>
    </xf>
    <xf numFmtId="0" fontId="5" fillId="0" borderId="58" xfId="0" applyFont="1" applyBorder="1" applyAlignment="1">
      <alignment horizontal="left" vertical="center" wrapText="1"/>
    </xf>
    <xf numFmtId="0" fontId="5" fillId="3" borderId="195" xfId="0" applyFont="1" applyFill="1" applyBorder="1" applyAlignment="1">
      <alignment horizontal="center" vertical="center"/>
    </xf>
    <xf numFmtId="0" fontId="5" fillId="0" borderId="24" xfId="0" applyFont="1" applyBorder="1" applyAlignment="1">
      <alignment horizontal="center" vertical="center"/>
    </xf>
    <xf numFmtId="0" fontId="5" fillId="0" borderId="186" xfId="0" applyFont="1" applyBorder="1" applyAlignment="1">
      <alignment horizontal="right" vertical="center"/>
    </xf>
    <xf numFmtId="0" fontId="5" fillId="0" borderId="205" xfId="0" applyFont="1" applyBorder="1" applyAlignment="1">
      <alignment horizontal="center" vertical="center"/>
    </xf>
    <xf numFmtId="0" fontId="29" fillId="5" borderId="81" xfId="0" applyFont="1" applyFill="1" applyBorder="1" applyAlignment="1">
      <alignment horizontal="left" vertical="center"/>
    </xf>
    <xf numFmtId="0" fontId="29" fillId="5" borderId="81" xfId="0" applyFont="1" applyFill="1" applyBorder="1" applyAlignment="1">
      <alignment horizontal="center" vertical="center"/>
    </xf>
    <xf numFmtId="0" fontId="29" fillId="5" borderId="81" xfId="0" applyFont="1" applyFill="1" applyBorder="1" applyAlignment="1">
      <alignment vertical="center" wrapText="1"/>
    </xf>
    <xf numFmtId="0" fontId="16" fillId="0" borderId="67" xfId="0" applyFont="1" applyBorder="1" applyAlignment="1">
      <alignment horizontal="left" vertical="center" wrapText="1"/>
    </xf>
    <xf numFmtId="0" fontId="5" fillId="0" borderId="10" xfId="0" applyFont="1" applyBorder="1" applyAlignment="1">
      <alignment horizontal="left" vertical="center" wrapText="1"/>
    </xf>
    <xf numFmtId="0" fontId="29" fillId="5" borderId="81" xfId="0" applyFont="1" applyFill="1" applyBorder="1" applyAlignment="1">
      <alignment vertical="top" wrapText="1"/>
    </xf>
    <xf numFmtId="0" fontId="16" fillId="0" borderId="169" xfId="0" applyFont="1" applyBorder="1" applyAlignment="1">
      <alignment horizontal="left" vertical="center"/>
    </xf>
    <xf numFmtId="0" fontId="5" fillId="0" borderId="164" xfId="0" applyFont="1" applyBorder="1" applyAlignment="1">
      <alignment horizontal="center" vertical="center" wrapText="1"/>
    </xf>
    <xf numFmtId="0" fontId="16" fillId="0" borderId="90" xfId="0" applyFont="1" applyBorder="1" applyAlignment="1">
      <alignment horizontal="right" vertical="center" wrapText="1"/>
    </xf>
    <xf numFmtId="0" fontId="16" fillId="0" borderId="124" xfId="0" applyFont="1" applyBorder="1" applyAlignment="1">
      <alignment horizontal="right" vertical="center" wrapText="1"/>
    </xf>
    <xf numFmtId="0" fontId="16" fillId="0" borderId="90" xfId="0" applyFont="1" applyBorder="1" applyAlignment="1">
      <alignment horizontal="left" vertical="center"/>
    </xf>
    <xf numFmtId="0" fontId="16" fillId="0" borderId="24" xfId="0" applyFont="1" applyBorder="1" applyAlignment="1">
      <alignment horizontal="left" vertical="center"/>
    </xf>
    <xf numFmtId="0" fontId="16" fillId="3" borderId="108" xfId="0" applyFont="1" applyFill="1" applyBorder="1" applyAlignment="1">
      <alignment horizontal="left" vertical="center"/>
    </xf>
    <xf numFmtId="164" fontId="12" fillId="4" borderId="60" xfId="0" applyNumberFormat="1" applyFont="1" applyFill="1" applyBorder="1" applyAlignment="1">
      <alignment horizontal="center" wrapText="1"/>
    </xf>
    <xf numFmtId="164" fontId="12" fillId="0" borderId="19" xfId="0" applyNumberFormat="1" applyFont="1" applyBorder="1" applyAlignment="1">
      <alignment horizontal="center"/>
    </xf>
    <xf numFmtId="0" fontId="16" fillId="3" borderId="124" xfId="0" applyFont="1" applyFill="1" applyBorder="1" applyAlignment="1">
      <alignment horizontal="right" vertical="center"/>
    </xf>
    <xf numFmtId="0" fontId="5" fillId="3" borderId="108" xfId="0" applyFont="1" applyFill="1" applyBorder="1" applyAlignment="1">
      <alignment horizontal="left" vertical="center"/>
    </xf>
    <xf numFmtId="0" fontId="5" fillId="0" borderId="89" xfId="0" applyFont="1" applyBorder="1" applyAlignment="1">
      <alignment horizontal="center" vertical="center"/>
    </xf>
    <xf numFmtId="0" fontId="5" fillId="0" borderId="164" xfId="0" applyFont="1" applyBorder="1" applyAlignment="1">
      <alignment horizontal="center" vertical="center"/>
    </xf>
    <xf numFmtId="0" fontId="16" fillId="3" borderId="42" xfId="0" applyFont="1" applyFill="1" applyBorder="1" applyAlignment="1">
      <alignment horizontal="left" vertical="center"/>
    </xf>
    <xf numFmtId="0" fontId="31" fillId="5" borderId="81" xfId="0" applyFont="1" applyFill="1" applyBorder="1" applyAlignment="1">
      <alignment horizontal="left" vertical="center"/>
    </xf>
    <xf numFmtId="0" fontId="31" fillId="5" borderId="81" xfId="0" applyFont="1" applyFill="1" applyBorder="1" applyAlignment="1">
      <alignment horizontal="center" vertical="center"/>
    </xf>
    <xf numFmtId="0" fontId="16" fillId="0" borderId="62" xfId="0" applyFont="1" applyBorder="1" applyAlignment="1">
      <alignment horizontal="left" vertical="center"/>
    </xf>
    <xf numFmtId="0" fontId="16" fillId="3" borderId="64" xfId="0" applyFont="1" applyFill="1" applyBorder="1" applyAlignment="1">
      <alignment horizontal="left" vertical="center"/>
    </xf>
    <xf numFmtId="0" fontId="5" fillId="0" borderId="63" xfId="0" applyFont="1" applyBorder="1" applyAlignment="1">
      <alignment horizontal="center" vertical="center"/>
    </xf>
    <xf numFmtId="0" fontId="21" fillId="0" borderId="67" xfId="0" applyFont="1" applyBorder="1" applyAlignment="1">
      <alignment horizontal="left" vertical="center" wrapText="1"/>
    </xf>
    <xf numFmtId="164" fontId="12" fillId="0" borderId="142" xfId="0" applyNumberFormat="1" applyFont="1" applyBorder="1" applyAlignment="1">
      <alignment horizontal="center" vertical="center"/>
    </xf>
    <xf numFmtId="164" fontId="12" fillId="4" borderId="228" xfId="0" applyNumberFormat="1" applyFont="1" applyFill="1" applyBorder="1" applyAlignment="1">
      <alignment horizontal="center" vertical="center"/>
    </xf>
    <xf numFmtId="0" fontId="12" fillId="5" borderId="81" xfId="0" applyFont="1" applyFill="1" applyBorder="1" applyAlignment="1">
      <alignment horizontal="center" vertical="center" wrapText="1"/>
    </xf>
    <xf numFmtId="0" fontId="5" fillId="0" borderId="12" xfId="0" applyFont="1" applyBorder="1" applyAlignment="1">
      <alignment horizontal="center" vertical="center"/>
    </xf>
    <xf numFmtId="0" fontId="5" fillId="0" borderId="34" xfId="0" applyFont="1" applyBorder="1" applyAlignment="1">
      <alignment wrapText="1"/>
    </xf>
    <xf numFmtId="0" fontId="16" fillId="0" borderId="60" xfId="0" applyFont="1" applyBorder="1" applyAlignment="1">
      <alignment horizontal="center" vertical="center" wrapText="1"/>
    </xf>
    <xf numFmtId="0" fontId="21" fillId="0" borderId="90" xfId="0" applyFont="1" applyBorder="1" applyAlignment="1">
      <alignment horizontal="right" vertical="center"/>
    </xf>
    <xf numFmtId="0" fontId="16" fillId="3" borderId="60" xfId="0" applyFont="1" applyFill="1" applyBorder="1" applyAlignment="1">
      <alignment horizontal="left" vertical="center"/>
    </xf>
    <xf numFmtId="0" fontId="21" fillId="0" borderId="62" xfId="0" applyFont="1" applyBorder="1" applyAlignment="1">
      <alignment horizontal="left" vertical="center"/>
    </xf>
    <xf numFmtId="0" fontId="5" fillId="0" borderId="12" xfId="0" applyFont="1" applyBorder="1" applyAlignment="1">
      <alignment horizontal="center" vertical="center" wrapText="1"/>
    </xf>
    <xf numFmtId="0" fontId="5" fillId="0" borderId="60" xfId="0" applyFont="1" applyBorder="1" applyAlignment="1">
      <alignment vertical="center" wrapText="1"/>
    </xf>
    <xf numFmtId="164" fontId="5" fillId="0" borderId="88" xfId="0" applyNumberFormat="1" applyFont="1" applyBorder="1" applyAlignment="1">
      <alignment horizontal="center" vertical="center"/>
    </xf>
    <xf numFmtId="0" fontId="5" fillId="0" borderId="156" xfId="0" applyFont="1" applyBorder="1" applyAlignment="1">
      <alignment horizontal="right" vertical="center"/>
    </xf>
    <xf numFmtId="0" fontId="5" fillId="0" borderId="230" xfId="0" applyFont="1" applyBorder="1" applyAlignment="1">
      <alignment horizontal="right"/>
    </xf>
    <xf numFmtId="0" fontId="12" fillId="3" borderId="0" xfId="0" applyFont="1" applyFill="1" applyAlignment="1"/>
    <xf numFmtId="0" fontId="16" fillId="0" borderId="64" xfId="0" applyFont="1" applyBorder="1" applyAlignment="1">
      <alignment vertical="center"/>
    </xf>
    <xf numFmtId="0" fontId="16" fillId="0" borderId="60" xfId="0" applyFont="1" applyBorder="1" applyAlignment="1">
      <alignment vertical="center"/>
    </xf>
    <xf numFmtId="0" fontId="16" fillId="4" borderId="232" xfId="0" applyFont="1" applyFill="1" applyBorder="1" applyAlignment="1">
      <alignment horizontal="left" vertical="center" wrapText="1"/>
    </xf>
    <xf numFmtId="0" fontId="5" fillId="0" borderId="9" xfId="0" applyFont="1" applyBorder="1" applyAlignment="1">
      <alignment horizontal="left" vertical="center"/>
    </xf>
    <xf numFmtId="0" fontId="29" fillId="5" borderId="81" xfId="0" applyFont="1" applyFill="1" applyBorder="1" applyAlignment="1">
      <alignment vertical="center"/>
    </xf>
    <xf numFmtId="0" fontId="16" fillId="0" borderId="67" xfId="0" applyFont="1" applyBorder="1" applyAlignment="1">
      <alignment horizontal="left" vertical="center"/>
    </xf>
    <xf numFmtId="0" fontId="5" fillId="0" borderId="9" xfId="0" applyFont="1" applyBorder="1" applyAlignment="1">
      <alignment horizontal="center" vertical="center"/>
    </xf>
    <xf numFmtId="0" fontId="21" fillId="0" borderId="234" xfId="0" applyFont="1" applyBorder="1" applyAlignment="1">
      <alignment horizontal="left"/>
    </xf>
    <xf numFmtId="0" fontId="5" fillId="0" borderId="29" xfId="0" applyFont="1" applyBorder="1"/>
    <xf numFmtId="164" fontId="5" fillId="0" borderId="34" xfId="0" applyNumberFormat="1" applyFont="1" applyBorder="1"/>
    <xf numFmtId="0" fontId="16" fillId="3" borderId="226" xfId="0" applyFont="1" applyFill="1" applyBorder="1" applyAlignment="1">
      <alignment horizontal="right"/>
    </xf>
    <xf numFmtId="0" fontId="5" fillId="0" borderId="88" xfId="0" applyFont="1" applyBorder="1" applyAlignment="1">
      <alignment horizontal="center"/>
    </xf>
    <xf numFmtId="164" fontId="5" fillId="0" borderId="15" xfId="0" applyNumberFormat="1" applyFont="1" applyBorder="1"/>
    <xf numFmtId="0" fontId="16" fillId="3" borderId="230" xfId="0" applyFont="1" applyFill="1" applyBorder="1" applyAlignment="1">
      <alignment horizontal="right"/>
    </xf>
    <xf numFmtId="0" fontId="16" fillId="3" borderId="236" xfId="0" applyFont="1" applyFill="1" applyBorder="1" applyAlignment="1">
      <alignment horizontal="right"/>
    </xf>
    <xf numFmtId="0" fontId="16" fillId="3" borderId="237" xfId="0" applyFont="1" applyFill="1" applyBorder="1" applyAlignment="1">
      <alignment horizontal="right"/>
    </xf>
    <xf numFmtId="0" fontId="5" fillId="0" borderId="47" xfId="0" applyFont="1" applyBorder="1" applyAlignment="1">
      <alignment horizontal="left" vertical="center"/>
    </xf>
    <xf numFmtId="164" fontId="5" fillId="0" borderId="103" xfId="0" applyNumberFormat="1" applyFont="1" applyBorder="1" applyAlignment="1">
      <alignment horizontal="center" vertical="center"/>
    </xf>
    <xf numFmtId="0" fontId="5" fillId="0" borderId="103" xfId="0" applyFont="1" applyBorder="1" applyAlignment="1">
      <alignment horizontal="left" vertical="center" wrapText="1"/>
    </xf>
    <xf numFmtId="0" fontId="16" fillId="3" borderId="90" xfId="0" applyFont="1" applyFill="1" applyBorder="1" applyAlignment="1">
      <alignment horizontal="right" vertical="center"/>
    </xf>
    <xf numFmtId="0" fontId="5" fillId="0" borderId="103" xfId="0" applyFont="1" applyBorder="1" applyAlignment="1">
      <alignment horizontal="center" vertical="center"/>
    </xf>
    <xf numFmtId="0" fontId="5" fillId="0" borderId="236" xfId="0" applyFont="1" applyBorder="1" applyAlignment="1">
      <alignment horizontal="right"/>
    </xf>
    <xf numFmtId="0" fontId="5" fillId="0" borderId="139" xfId="0" applyFont="1" applyBorder="1" applyAlignment="1">
      <alignment horizontal="center" wrapText="1"/>
    </xf>
    <xf numFmtId="0" fontId="5" fillId="0" borderId="0" xfId="0" applyFont="1" applyAlignment="1">
      <alignment horizontal="left"/>
    </xf>
    <xf numFmtId="0" fontId="5" fillId="0" borderId="167" xfId="0" applyFont="1" applyBorder="1" applyAlignment="1">
      <alignment horizontal="center" vertical="center" wrapText="1"/>
    </xf>
    <xf numFmtId="164" fontId="12" fillId="4" borderId="95" xfId="0" applyNumberFormat="1" applyFont="1" applyFill="1" applyBorder="1" applyAlignment="1">
      <alignment horizontal="center" wrapText="1"/>
    </xf>
    <xf numFmtId="164" fontId="12" fillId="0" borderId="98" xfId="0" applyNumberFormat="1" applyFont="1" applyBorder="1" applyAlignment="1">
      <alignment horizontal="center"/>
    </xf>
    <xf numFmtId="0" fontId="5" fillId="0" borderId="87" xfId="0" applyFont="1" applyBorder="1" applyAlignment="1">
      <alignment horizontal="center" vertical="center"/>
    </xf>
    <xf numFmtId="0" fontId="5" fillId="0" borderId="129" xfId="0" applyFont="1" applyBorder="1" applyAlignment="1">
      <alignment horizontal="center" vertical="center"/>
    </xf>
    <xf numFmtId="0" fontId="5" fillId="0" borderId="5" xfId="0" applyFont="1" applyBorder="1" applyAlignment="1">
      <alignment horizontal="center" vertical="center"/>
    </xf>
    <xf numFmtId="0" fontId="7" fillId="0" borderId="0" xfId="0" applyFont="1" applyAlignment="1">
      <alignment horizontal="center" vertical="top"/>
    </xf>
    <xf numFmtId="0" fontId="7" fillId="0" borderId="0" xfId="0" applyFont="1" applyAlignment="1">
      <alignment vertical="top" wrapText="1"/>
    </xf>
    <xf numFmtId="0" fontId="12" fillId="0" borderId="0" xfId="0" applyFont="1" applyAlignment="1">
      <alignment horizontal="center"/>
    </xf>
    <xf numFmtId="0" fontId="16" fillId="0" borderId="0" xfId="0" applyFont="1" applyAlignment="1">
      <alignment horizontal="left" vertical="center" wrapText="1"/>
    </xf>
    <xf numFmtId="0" fontId="12" fillId="0" borderId="0" xfId="0" applyFont="1" applyAlignment="1"/>
    <xf numFmtId="0" fontId="5" fillId="0" borderId="0" xfId="0" applyFont="1"/>
    <xf numFmtId="0" fontId="5" fillId="0" borderId="59" xfId="0" applyFont="1" applyBorder="1" applyAlignment="1">
      <alignment horizontal="left" vertical="center" wrapText="1"/>
    </xf>
    <xf numFmtId="0" fontId="5" fillId="0" borderId="0" xfId="0" applyFont="1" applyAlignment="1">
      <alignment vertical="center"/>
    </xf>
    <xf numFmtId="0" fontId="14" fillId="0" borderId="0" xfId="0" applyFont="1" applyAlignment="1">
      <alignment vertical="center"/>
    </xf>
    <xf numFmtId="0" fontId="5" fillId="0" borderId="66" xfId="0" applyFont="1" applyBorder="1" applyAlignment="1">
      <alignment horizontal="left" vertical="center" wrapText="1"/>
    </xf>
    <xf numFmtId="164" fontId="5" fillId="0" borderId="59" xfId="0" applyNumberFormat="1" applyFont="1" applyBorder="1" applyAlignment="1">
      <alignment horizontal="center" vertical="center"/>
    </xf>
    <xf numFmtId="0" fontId="5" fillId="0" borderId="0" xfId="0" applyFont="1" applyAlignment="1">
      <alignment horizontal="left" vertical="center"/>
    </xf>
    <xf numFmtId="0" fontId="21" fillId="0" borderId="60" xfId="0" applyFont="1" applyBorder="1" applyAlignment="1">
      <alignment horizontal="left" vertical="center"/>
    </xf>
    <xf numFmtId="0" fontId="5" fillId="0" borderId="28" xfId="0" applyFont="1" applyBorder="1" applyAlignment="1">
      <alignment horizontal="center" vertical="center"/>
    </xf>
    <xf numFmtId="0" fontId="5" fillId="0" borderId="0" xfId="0" applyFont="1" applyAlignment="1">
      <alignment wrapText="1"/>
    </xf>
    <xf numFmtId="0" fontId="5" fillId="0" borderId="74" xfId="0" applyFont="1" applyBorder="1" applyAlignment="1">
      <alignment horizontal="left" vertical="center" wrapText="1"/>
    </xf>
    <xf numFmtId="0" fontId="16" fillId="3" borderId="156" xfId="0" applyFont="1" applyFill="1" applyBorder="1" applyAlignment="1">
      <alignment horizontal="right" vertical="center"/>
    </xf>
    <xf numFmtId="0" fontId="5" fillId="0" borderId="59" xfId="0" applyFont="1" applyBorder="1" applyAlignment="1">
      <alignment horizontal="center" vertical="center" wrapText="1"/>
    </xf>
    <xf numFmtId="0" fontId="21" fillId="0" borderId="67" xfId="0" applyFont="1" applyBorder="1" applyAlignment="1">
      <alignment horizontal="left" vertical="center"/>
    </xf>
    <xf numFmtId="0" fontId="5" fillId="0" borderId="66" xfId="0" applyFont="1" applyBorder="1" applyAlignment="1">
      <alignment horizontal="center" vertical="center" wrapText="1"/>
    </xf>
    <xf numFmtId="0" fontId="5" fillId="0" borderId="59" xfId="0" applyFont="1" applyBorder="1" applyAlignment="1">
      <alignment horizontal="center" vertical="center"/>
    </xf>
    <xf numFmtId="0" fontId="5" fillId="0" borderId="60" xfId="0" applyFont="1" applyBorder="1" applyAlignment="1">
      <alignment horizontal="left" vertical="center"/>
    </xf>
    <xf numFmtId="0" fontId="5" fillId="0" borderId="0" xfId="0" applyFont="1" applyAlignment="1">
      <alignment horizontal="left" vertical="center" wrapText="1"/>
    </xf>
    <xf numFmtId="0" fontId="4" fillId="0" borderId="0" xfId="0" applyFont="1" applyAlignment="1">
      <alignment vertical="center"/>
    </xf>
    <xf numFmtId="0" fontId="5" fillId="0" borderId="0" xfId="0" applyFont="1" applyAlignment="1"/>
    <xf numFmtId="0" fontId="19" fillId="4" borderId="111" xfId="0" applyFont="1" applyFill="1" applyBorder="1" applyAlignment="1">
      <alignment horizontal="center" vertical="center"/>
    </xf>
    <xf numFmtId="0" fontId="19" fillId="4" borderId="233" xfId="0" applyFont="1" applyFill="1" applyBorder="1" applyAlignment="1">
      <alignment horizontal="center" vertical="center"/>
    </xf>
    <xf numFmtId="0" fontId="19" fillId="3" borderId="111" xfId="0" applyFont="1" applyFill="1" applyBorder="1" applyAlignment="1">
      <alignment horizontal="center" vertical="center"/>
    </xf>
    <xf numFmtId="0" fontId="19" fillId="3" borderId="233" xfId="0" applyFont="1" applyFill="1" applyBorder="1" applyAlignment="1">
      <alignment horizontal="center" vertical="center"/>
    </xf>
    <xf numFmtId="0" fontId="5" fillId="4" borderId="240" xfId="0" applyFont="1" applyFill="1" applyBorder="1"/>
    <xf numFmtId="0" fontId="5" fillId="4" borderId="241" xfId="0" applyFont="1" applyFill="1" applyBorder="1" applyAlignment="1">
      <alignment horizontal="left" vertical="center"/>
    </xf>
    <xf numFmtId="0" fontId="5" fillId="3" borderId="240" xfId="0" applyFont="1" applyFill="1" applyBorder="1" applyAlignment="1">
      <alignment horizontal="left" vertical="center"/>
    </xf>
    <xf numFmtId="0" fontId="5" fillId="3" borderId="241" xfId="0" applyFont="1" applyFill="1" applyBorder="1" applyAlignment="1">
      <alignment horizontal="left" vertical="center"/>
    </xf>
    <xf numFmtId="0" fontId="5" fillId="0" borderId="94" xfId="0" applyFont="1" applyBorder="1" applyAlignment="1">
      <alignment vertical="center" wrapText="1"/>
    </xf>
    <xf numFmtId="0" fontId="16" fillId="0" borderId="179" xfId="0" applyFont="1" applyBorder="1" applyAlignment="1">
      <alignment horizontal="left" vertical="center"/>
    </xf>
    <xf numFmtId="0" fontId="16" fillId="0" borderId="179" xfId="0" applyFont="1" applyBorder="1" applyAlignment="1">
      <alignment horizontal="center" vertical="center"/>
    </xf>
    <xf numFmtId="0" fontId="16" fillId="0" borderId="179" xfId="0" applyFont="1" applyBorder="1" applyAlignment="1">
      <alignment vertical="center"/>
    </xf>
    <xf numFmtId="0" fontId="5" fillId="0" borderId="179" xfId="0" applyFont="1" applyBorder="1" applyAlignment="1">
      <alignment horizontal="center" vertical="center"/>
    </xf>
    <xf numFmtId="0" fontId="5" fillId="0" borderId="179" xfId="0" applyFont="1" applyBorder="1"/>
    <xf numFmtId="0" fontId="5" fillId="0" borderId="179" xfId="0" applyFont="1" applyBorder="1" applyAlignment="1">
      <alignment horizontal="left" vertical="top"/>
    </xf>
    <xf numFmtId="0" fontId="4" fillId="0" borderId="179" xfId="0" applyFont="1" applyBorder="1" applyAlignment="1">
      <alignment vertical="center"/>
    </xf>
    <xf numFmtId="0" fontId="7" fillId="0" borderId="179" xfId="0" applyFont="1" applyBorder="1" applyAlignment="1">
      <alignment horizontal="left" vertical="center"/>
    </xf>
    <xf numFmtId="0" fontId="7" fillId="0" borderId="179" xfId="0" applyFont="1" applyBorder="1" applyAlignment="1">
      <alignment horizontal="center" vertical="center"/>
    </xf>
    <xf numFmtId="0" fontId="24" fillId="0" borderId="179" xfId="0" applyFont="1" applyBorder="1" applyAlignment="1">
      <alignment horizontal="right" vertical="center"/>
    </xf>
    <xf numFmtId="0" fontId="8" fillId="0" borderId="220" xfId="0" applyFont="1" applyBorder="1" applyAlignment="1">
      <alignment horizontal="center" vertical="center"/>
    </xf>
    <xf numFmtId="0" fontId="5" fillId="0" borderId="179" xfId="0" applyFont="1" applyBorder="1" applyAlignment="1">
      <alignment vertical="top"/>
    </xf>
    <xf numFmtId="0" fontId="16" fillId="0" borderId="179" xfId="0" applyFont="1" applyBorder="1" applyAlignment="1">
      <alignment horizontal="center" vertical="top"/>
    </xf>
    <xf numFmtId="0" fontId="5" fillId="0" borderId="60" xfId="0" applyFont="1" applyBorder="1" applyAlignment="1">
      <alignment horizontal="left" vertical="center"/>
    </xf>
    <xf numFmtId="0" fontId="5" fillId="0" borderId="59" xfId="0" applyFont="1" applyBorder="1" applyAlignment="1">
      <alignment horizontal="left" vertical="center" wrapText="1"/>
    </xf>
    <xf numFmtId="0" fontId="14" fillId="0" borderId="0" xfId="0" applyFont="1" applyAlignment="1">
      <alignment vertical="center"/>
    </xf>
    <xf numFmtId="0" fontId="4" fillId="0" borderId="0" xfId="0" applyFont="1" applyAlignment="1"/>
    <xf numFmtId="0" fontId="4" fillId="0" borderId="179" xfId="0" applyFont="1" applyBorder="1" applyAlignment="1">
      <alignment vertical="top"/>
    </xf>
    <xf numFmtId="0" fontId="14" fillId="0" borderId="0" xfId="0" applyFont="1" applyAlignment="1">
      <alignment horizontal="left"/>
    </xf>
    <xf numFmtId="0" fontId="14" fillId="0" borderId="0" xfId="0" applyFont="1"/>
    <xf numFmtId="0" fontId="14" fillId="0" borderId="0" xfId="0" applyFont="1" applyAlignment="1">
      <alignment horizontal="left" vertical="center"/>
    </xf>
    <xf numFmtId="0" fontId="14" fillId="0" borderId="0" xfId="0" applyFont="1" applyAlignment="1">
      <alignment wrapText="1"/>
    </xf>
    <xf numFmtId="0" fontId="14" fillId="0" borderId="0" xfId="0" applyFont="1" applyAlignment="1"/>
    <xf numFmtId="0" fontId="14" fillId="3" borderId="0" xfId="0" applyFont="1" applyFill="1" applyAlignment="1"/>
    <xf numFmtId="0" fontId="5" fillId="0" borderId="56" xfId="0" applyFont="1" applyBorder="1" applyAlignment="1">
      <alignment horizontal="left" vertical="center"/>
    </xf>
    <xf numFmtId="0" fontId="5" fillId="0" borderId="34" xfId="0" applyFont="1" applyBorder="1" applyAlignment="1">
      <alignment horizontal="left" vertical="center"/>
    </xf>
    <xf numFmtId="0" fontId="5" fillId="0" borderId="29" xfId="0" applyFont="1" applyBorder="1" applyAlignment="1">
      <alignment horizontal="left" vertical="center"/>
    </xf>
    <xf numFmtId="0" fontId="16" fillId="0" borderId="15" xfId="0" applyFont="1" applyBorder="1" applyAlignment="1">
      <alignment vertical="center" wrapText="1"/>
    </xf>
    <xf numFmtId="0" fontId="5" fillId="3" borderId="87" xfId="0" applyFont="1" applyFill="1" applyBorder="1" applyAlignment="1">
      <alignment horizontal="left" vertical="center"/>
    </xf>
    <xf numFmtId="0" fontId="5" fillId="3" borderId="88" xfId="0" applyFont="1" applyFill="1" applyBorder="1" applyAlignment="1">
      <alignment horizontal="left" vertical="center"/>
    </xf>
    <xf numFmtId="0" fontId="21" fillId="0" borderId="244" xfId="0" applyFont="1" applyBorder="1" applyAlignment="1">
      <alignment vertical="center" wrapText="1"/>
    </xf>
    <xf numFmtId="0" fontId="31" fillId="5" borderId="81" xfId="0" applyFont="1" applyFill="1" applyBorder="1" applyAlignment="1">
      <alignment vertical="center" wrapText="1"/>
    </xf>
    <xf numFmtId="0" fontId="16" fillId="0" borderId="236" xfId="0" applyFont="1" applyBorder="1" applyAlignment="1">
      <alignment horizontal="left" vertical="center"/>
    </xf>
    <xf numFmtId="0" fontId="5" fillId="0" borderId="60" xfId="0" applyFont="1" applyBorder="1" applyAlignment="1">
      <alignment horizontal="left" vertical="center" wrapText="1"/>
    </xf>
    <xf numFmtId="0" fontId="4" fillId="0" borderId="0" xfId="0" applyFont="1" applyAlignment="1"/>
    <xf numFmtId="0" fontId="5" fillId="0" borderId="0" xfId="0" applyFont="1"/>
    <xf numFmtId="0" fontId="14" fillId="0" borderId="0" xfId="0" applyFont="1" applyAlignment="1"/>
    <xf numFmtId="0" fontId="5" fillId="0" borderId="0" xfId="0" applyFont="1" applyAlignment="1">
      <alignment vertical="center"/>
    </xf>
    <xf numFmtId="0" fontId="5" fillId="0" borderId="59" xfId="0" applyFont="1" applyBorder="1" applyAlignment="1">
      <alignment horizontal="center" vertical="center" wrapText="1"/>
    </xf>
    <xf numFmtId="0" fontId="17" fillId="0" borderId="0" xfId="1" applyFont="1" applyAlignment="1">
      <alignment horizontal="left" vertical="center"/>
    </xf>
    <xf numFmtId="0" fontId="16" fillId="0" borderId="58" xfId="0" applyFont="1" applyBorder="1" applyAlignment="1" applyProtection="1">
      <alignment horizontal="left" vertical="center" wrapText="1"/>
      <protection locked="0"/>
    </xf>
    <xf numFmtId="0" fontId="16" fillId="3" borderId="63" xfId="0" applyFont="1" applyFill="1" applyBorder="1" applyAlignment="1" applyProtection="1">
      <alignment horizontal="left" vertical="center" wrapText="1"/>
      <protection locked="0"/>
    </xf>
    <xf numFmtId="0" fontId="16" fillId="0" borderId="63" xfId="0" applyFont="1" applyBorder="1" applyAlignment="1" applyProtection="1">
      <alignment horizontal="left" vertical="center" wrapText="1"/>
      <protection locked="0"/>
    </xf>
    <xf numFmtId="0" fontId="5" fillId="4" borderId="52" xfId="0" applyFont="1" applyFill="1" applyBorder="1" applyAlignment="1" applyProtection="1">
      <alignment horizontal="center" vertical="center"/>
      <protection locked="0"/>
    </xf>
    <xf numFmtId="0" fontId="5" fillId="4" borderId="63" xfId="0" applyFont="1" applyFill="1" applyBorder="1" applyAlignment="1" applyProtection="1">
      <alignment horizontal="center" vertical="center"/>
      <protection locked="0"/>
    </xf>
    <xf numFmtId="0" fontId="5" fillId="4" borderId="65" xfId="0" applyFont="1" applyFill="1" applyBorder="1" applyAlignment="1" applyProtection="1">
      <alignment horizontal="center" vertical="center"/>
      <protection locked="0"/>
    </xf>
    <xf numFmtId="0" fontId="11" fillId="0" borderId="0" xfId="0" applyFont="1" applyProtection="1">
      <protection locked="0"/>
    </xf>
    <xf numFmtId="0" fontId="5" fillId="0" borderId="0" xfId="0" applyFont="1" applyProtection="1">
      <protection locked="0"/>
    </xf>
    <xf numFmtId="0" fontId="0" fillId="0" borderId="0" xfId="0" applyFont="1" applyAlignment="1" applyProtection="1">
      <protection locked="0"/>
    </xf>
    <xf numFmtId="0" fontId="12" fillId="0" borderId="83" xfId="0" applyFont="1" applyBorder="1" applyAlignment="1" applyProtection="1">
      <alignment vertical="center" wrapText="1"/>
      <protection locked="0"/>
    </xf>
    <xf numFmtId="0" fontId="11" fillId="0" borderId="30" xfId="0" applyFont="1" applyBorder="1" applyAlignment="1" applyProtection="1">
      <alignment horizontal="left"/>
      <protection locked="0"/>
    </xf>
    <xf numFmtId="0" fontId="1" fillId="0" borderId="0" xfId="0" applyFont="1" applyProtection="1">
      <protection locked="0"/>
    </xf>
    <xf numFmtId="0" fontId="12" fillId="0" borderId="0" xfId="0" applyFont="1" applyProtection="1">
      <protection locked="0"/>
    </xf>
    <xf numFmtId="0" fontId="19" fillId="0" borderId="0" xfId="0" applyFont="1" applyProtection="1">
      <protection locked="0"/>
    </xf>
    <xf numFmtId="0" fontId="5" fillId="4" borderId="67" xfId="0" applyFont="1" applyFill="1" applyBorder="1" applyAlignment="1" applyProtection="1">
      <alignment horizontal="center" vertical="center"/>
      <protection locked="0"/>
    </xf>
    <xf numFmtId="0" fontId="5" fillId="4" borderId="26" xfId="0" applyFont="1" applyFill="1" applyBorder="1" applyAlignment="1" applyProtection="1">
      <alignment horizontal="center" vertical="center"/>
      <protection locked="0"/>
    </xf>
    <xf numFmtId="0" fontId="5" fillId="3" borderId="86" xfId="0" applyFont="1" applyFill="1" applyBorder="1" applyAlignment="1" applyProtection="1">
      <alignment horizontal="center" vertical="center"/>
      <protection locked="0"/>
    </xf>
    <xf numFmtId="0" fontId="5" fillId="3" borderId="36" xfId="0" applyFont="1" applyFill="1" applyBorder="1" applyAlignment="1" applyProtection="1">
      <alignment horizontal="center" vertical="center"/>
      <protection locked="0"/>
    </xf>
    <xf numFmtId="0" fontId="5" fillId="4" borderId="90" xfId="0" applyFont="1" applyFill="1" applyBorder="1" applyAlignment="1" applyProtection="1">
      <alignment horizontal="center" vertical="center"/>
      <protection locked="0"/>
    </xf>
    <xf numFmtId="0" fontId="5" fillId="4" borderId="92" xfId="0" applyFont="1" applyFill="1" applyBorder="1" applyAlignment="1" applyProtection="1">
      <alignment horizontal="center" vertical="center"/>
      <protection locked="0"/>
    </xf>
    <xf numFmtId="0" fontId="5" fillId="3" borderId="93" xfId="0" applyFont="1" applyFill="1" applyBorder="1" applyAlignment="1" applyProtection="1">
      <alignment horizontal="center" vertical="center"/>
      <protection locked="0"/>
    </xf>
    <xf numFmtId="0" fontId="5" fillId="3" borderId="91" xfId="0" applyFont="1" applyFill="1" applyBorder="1" applyAlignment="1" applyProtection="1">
      <alignment horizontal="center" vertical="center"/>
      <protection locked="0"/>
    </xf>
    <xf numFmtId="0" fontId="5" fillId="4" borderId="95" xfId="0" applyFont="1" applyFill="1" applyBorder="1" applyAlignment="1" applyProtection="1">
      <alignment horizontal="center" vertical="center"/>
      <protection locked="0"/>
    </xf>
    <xf numFmtId="0" fontId="5" fillId="4" borderId="96" xfId="0" applyFont="1" applyFill="1" applyBorder="1" applyAlignment="1" applyProtection="1">
      <alignment horizontal="center" vertical="center"/>
      <protection locked="0"/>
    </xf>
    <xf numFmtId="0" fontId="5" fillId="3" borderId="97" xfId="0" applyFont="1" applyFill="1" applyBorder="1" applyAlignment="1" applyProtection="1">
      <alignment horizontal="center" vertical="center"/>
      <protection locked="0"/>
    </xf>
    <xf numFmtId="0" fontId="5" fillId="3" borderId="98" xfId="0" applyFont="1" applyFill="1" applyBorder="1" applyAlignment="1" applyProtection="1">
      <alignment horizontal="center" vertical="center"/>
      <protection locked="0"/>
    </xf>
    <xf numFmtId="0" fontId="5" fillId="4" borderId="64" xfId="0" applyFont="1" applyFill="1" applyBorder="1" applyAlignment="1" applyProtection="1">
      <alignment horizontal="center" vertical="center"/>
      <protection locked="0"/>
    </xf>
    <xf numFmtId="0" fontId="5" fillId="4" borderId="1" xfId="0" applyFont="1" applyFill="1" applyBorder="1" applyAlignment="1" applyProtection="1">
      <alignment horizontal="center" vertical="center"/>
      <protection locked="0"/>
    </xf>
    <xf numFmtId="0" fontId="5" fillId="3" borderId="94" xfId="0" applyFont="1" applyFill="1" applyBorder="1" applyAlignment="1" applyProtection="1">
      <alignment horizontal="center" vertical="center"/>
      <protection locked="0"/>
    </xf>
    <xf numFmtId="0" fontId="5" fillId="3" borderId="11" xfId="0" applyFont="1" applyFill="1" applyBorder="1" applyAlignment="1" applyProtection="1">
      <alignment horizontal="center" vertical="center"/>
      <protection locked="0"/>
    </xf>
    <xf numFmtId="0" fontId="5" fillId="4" borderId="99" xfId="0" applyFont="1" applyFill="1" applyBorder="1" applyAlignment="1" applyProtection="1">
      <alignment horizontal="center" vertical="center"/>
      <protection locked="0"/>
    </xf>
    <xf numFmtId="0" fontId="5" fillId="4" borderId="100" xfId="0" applyFont="1" applyFill="1" applyBorder="1" applyAlignment="1" applyProtection="1">
      <alignment horizontal="center" vertical="center"/>
      <protection locked="0"/>
    </xf>
    <xf numFmtId="0" fontId="5" fillId="3" borderId="101" xfId="0" applyFont="1" applyFill="1" applyBorder="1" applyAlignment="1" applyProtection="1">
      <alignment horizontal="center" vertical="center"/>
      <protection locked="0"/>
    </xf>
    <xf numFmtId="0" fontId="5" fillId="3" borderId="102" xfId="0" applyFont="1" applyFill="1" applyBorder="1" applyAlignment="1" applyProtection="1">
      <alignment horizontal="center" vertical="center"/>
      <protection locked="0"/>
    </xf>
    <xf numFmtId="0" fontId="5" fillId="0" borderId="3" xfId="0" applyFont="1" applyBorder="1" applyAlignment="1" applyProtection="1">
      <alignment horizontal="center" vertical="center"/>
      <protection locked="0"/>
    </xf>
    <xf numFmtId="0" fontId="5" fillId="0" borderId="11" xfId="0" applyFont="1" applyBorder="1" applyAlignment="1" applyProtection="1">
      <alignment horizontal="center" vertical="center"/>
      <protection locked="0"/>
    </xf>
    <xf numFmtId="0" fontId="5" fillId="4" borderId="64" xfId="0" applyFont="1" applyFill="1" applyBorder="1" applyAlignment="1" applyProtection="1">
      <alignment horizontal="center"/>
      <protection locked="0"/>
    </xf>
    <xf numFmtId="0" fontId="5" fillId="4" borderId="1" xfId="0" applyFont="1" applyFill="1" applyBorder="1" applyAlignment="1" applyProtection="1">
      <alignment horizontal="center"/>
      <protection locked="0"/>
    </xf>
    <xf numFmtId="0" fontId="5" fillId="3" borderId="94" xfId="0" applyFont="1" applyFill="1" applyBorder="1" applyAlignment="1" applyProtection="1">
      <alignment horizontal="center"/>
      <protection locked="0"/>
    </xf>
    <xf numFmtId="0" fontId="5" fillId="3" borderId="11" xfId="0" applyFont="1" applyFill="1" applyBorder="1" applyAlignment="1" applyProtection="1">
      <alignment horizontal="center"/>
      <protection locked="0"/>
    </xf>
    <xf numFmtId="0" fontId="5" fillId="4" borderId="104" xfId="0" applyFont="1" applyFill="1" applyBorder="1" applyAlignment="1" applyProtection="1">
      <alignment horizontal="center" vertical="center"/>
      <protection locked="0"/>
    </xf>
    <xf numFmtId="0" fontId="5" fillId="4" borderId="45" xfId="0" applyFont="1" applyFill="1" applyBorder="1" applyAlignment="1" applyProtection="1">
      <alignment horizontal="center" vertical="center"/>
      <protection locked="0"/>
    </xf>
    <xf numFmtId="0" fontId="5" fillId="3" borderId="106" xfId="0" applyFont="1" applyFill="1" applyBorder="1" applyAlignment="1" applyProtection="1">
      <alignment horizontal="center" vertical="center"/>
      <protection locked="0"/>
    </xf>
    <xf numFmtId="0" fontId="5" fillId="3" borderId="107" xfId="0" applyFont="1" applyFill="1" applyBorder="1" applyAlignment="1" applyProtection="1">
      <alignment horizontal="center" vertical="center"/>
      <protection locked="0"/>
    </xf>
    <xf numFmtId="0" fontId="5" fillId="2" borderId="117" xfId="0" applyFont="1" applyFill="1" applyBorder="1" applyAlignment="1" applyProtection="1">
      <alignment horizontal="center" vertical="center"/>
      <protection locked="0"/>
    </xf>
    <xf numFmtId="0" fontId="5" fillId="2" borderId="118" xfId="0" applyFont="1" applyFill="1" applyBorder="1" applyAlignment="1" applyProtection="1">
      <alignment horizontal="center" vertical="center"/>
      <protection locked="0"/>
    </xf>
    <xf numFmtId="0" fontId="5" fillId="2" borderId="68" xfId="0" applyFont="1" applyFill="1" applyBorder="1" applyAlignment="1" applyProtection="1">
      <alignment horizontal="center" vertical="center"/>
      <protection locked="0"/>
    </xf>
    <xf numFmtId="0" fontId="5" fillId="4" borderId="119" xfId="0" applyFont="1" applyFill="1" applyBorder="1" applyAlignment="1" applyProtection="1">
      <alignment horizontal="center" vertical="center"/>
      <protection locked="0"/>
    </xf>
    <xf numFmtId="0" fontId="5" fillId="4" borderId="120" xfId="0" applyFont="1" applyFill="1" applyBorder="1" applyAlignment="1" applyProtection="1">
      <alignment horizontal="center" vertical="center"/>
      <protection locked="0"/>
    </xf>
    <xf numFmtId="0" fontId="5" fillId="3" borderId="121" xfId="0" applyFont="1" applyFill="1" applyBorder="1" applyAlignment="1" applyProtection="1">
      <alignment horizontal="center" vertical="center"/>
      <protection locked="0"/>
    </xf>
    <xf numFmtId="0" fontId="5" fillId="3" borderId="122" xfId="0" applyFont="1" applyFill="1" applyBorder="1" applyAlignment="1" applyProtection="1">
      <alignment horizontal="center" vertical="center"/>
      <protection locked="0"/>
    </xf>
    <xf numFmtId="0" fontId="5" fillId="4" borderId="124" xfId="0" applyFont="1" applyFill="1" applyBorder="1" applyAlignment="1" applyProtection="1">
      <alignment horizontal="center" vertical="center"/>
      <protection locked="0"/>
    </xf>
    <xf numFmtId="0" fontId="5" fillId="4" borderId="125" xfId="0" applyFont="1" applyFill="1" applyBorder="1" applyAlignment="1" applyProtection="1">
      <alignment horizontal="center" vertical="center"/>
      <protection locked="0"/>
    </xf>
    <xf numFmtId="0" fontId="5" fillId="3" borderId="126" xfId="0" applyFont="1" applyFill="1" applyBorder="1" applyAlignment="1" applyProtection="1">
      <alignment horizontal="center" vertical="center"/>
      <protection locked="0"/>
    </xf>
    <xf numFmtId="0" fontId="5" fillId="3" borderId="127" xfId="0" applyFont="1" applyFill="1" applyBorder="1" applyAlignment="1" applyProtection="1">
      <alignment horizontal="center" vertical="center"/>
      <protection locked="0"/>
    </xf>
    <xf numFmtId="0" fontId="16" fillId="0" borderId="143" xfId="0" applyFont="1" applyBorder="1" applyAlignment="1" applyProtection="1">
      <alignment horizontal="left" vertical="center" wrapText="1"/>
      <protection locked="0"/>
    </xf>
    <xf numFmtId="0" fontId="16" fillId="0" borderId="39" xfId="0" applyFont="1" applyBorder="1" applyAlignment="1" applyProtection="1">
      <alignment horizontal="center" vertical="center"/>
      <protection locked="0"/>
    </xf>
    <xf numFmtId="0" fontId="5" fillId="4" borderId="108" xfId="0" applyFont="1" applyFill="1" applyBorder="1" applyAlignment="1" applyProtection="1">
      <alignment horizontal="center" vertical="center"/>
      <protection locked="0"/>
    </xf>
    <xf numFmtId="0" fontId="5" fillId="4" borderId="30" xfId="0" applyFont="1" applyFill="1" applyBorder="1" applyAlignment="1" applyProtection="1">
      <alignment horizontal="center" vertical="center"/>
      <protection locked="0"/>
    </xf>
    <xf numFmtId="0" fontId="5" fillId="3" borderId="155" xfId="0" applyFont="1" applyFill="1" applyBorder="1" applyAlignment="1" applyProtection="1">
      <alignment horizontal="center" vertical="center"/>
      <protection locked="0"/>
    </xf>
    <xf numFmtId="0" fontId="5" fillId="3" borderId="154" xfId="0" applyFont="1" applyFill="1" applyBorder="1" applyAlignment="1" applyProtection="1">
      <alignment horizontal="center" vertical="center"/>
      <protection locked="0"/>
    </xf>
    <xf numFmtId="0" fontId="5" fillId="4" borderId="160" xfId="0" applyFont="1" applyFill="1" applyBorder="1" applyAlignment="1" applyProtection="1">
      <alignment horizontal="center" vertical="center"/>
      <protection locked="0"/>
    </xf>
    <xf numFmtId="0" fontId="5" fillId="4" borderId="161" xfId="0" applyFont="1" applyFill="1" applyBorder="1" applyAlignment="1" applyProtection="1">
      <alignment horizontal="center" vertical="center"/>
      <protection locked="0"/>
    </xf>
    <xf numFmtId="0" fontId="5" fillId="3" borderId="162" xfId="0" applyFont="1" applyFill="1" applyBorder="1" applyAlignment="1" applyProtection="1">
      <alignment horizontal="center" vertical="center"/>
      <protection locked="0"/>
    </xf>
    <xf numFmtId="0" fontId="5" fillId="3" borderId="163" xfId="0" applyFont="1" applyFill="1" applyBorder="1" applyAlignment="1" applyProtection="1">
      <alignment horizontal="center" vertical="center"/>
      <protection locked="0"/>
    </xf>
    <xf numFmtId="0" fontId="5" fillId="4" borderId="169" xfId="0" applyFont="1" applyFill="1" applyBorder="1" applyAlignment="1" applyProtection="1">
      <alignment horizontal="center" vertical="center"/>
      <protection locked="0"/>
    </xf>
    <xf numFmtId="0" fontId="5" fillId="4" borderId="170" xfId="0" applyFont="1" applyFill="1" applyBorder="1" applyAlignment="1" applyProtection="1">
      <alignment horizontal="center" vertical="center"/>
      <protection locked="0"/>
    </xf>
    <xf numFmtId="0" fontId="5" fillId="3" borderId="171" xfId="0" applyFont="1" applyFill="1" applyBorder="1" applyAlignment="1" applyProtection="1">
      <alignment horizontal="center" vertical="center"/>
      <protection locked="0"/>
    </xf>
    <xf numFmtId="0" fontId="5" fillId="3" borderId="172" xfId="0" applyFont="1" applyFill="1" applyBorder="1" applyAlignment="1" applyProtection="1">
      <alignment horizontal="center" vertical="center"/>
      <protection locked="0"/>
    </xf>
    <xf numFmtId="0" fontId="26" fillId="0" borderId="63" xfId="0" applyFont="1" applyBorder="1" applyAlignment="1" applyProtection="1">
      <alignment horizontal="center" vertical="center" wrapText="1"/>
      <protection locked="0"/>
    </xf>
    <xf numFmtId="0" fontId="16" fillId="0" borderId="173" xfId="0" applyFont="1" applyBorder="1" applyAlignment="1" applyProtection="1">
      <alignment horizontal="left" vertical="center" wrapText="1"/>
      <protection locked="0"/>
    </xf>
    <xf numFmtId="0" fontId="21" fillId="0" borderId="245" xfId="0" applyFont="1" applyBorder="1" applyAlignment="1" applyProtection="1">
      <alignment horizontal="center" vertical="center"/>
      <protection locked="0"/>
    </xf>
    <xf numFmtId="49" fontId="5" fillId="0" borderId="66" xfId="0" applyNumberFormat="1" applyFont="1" applyBorder="1" applyAlignment="1" applyProtection="1">
      <alignment horizontal="center" vertical="center" wrapText="1"/>
      <protection locked="0"/>
    </xf>
    <xf numFmtId="0" fontId="5" fillId="0" borderId="173" xfId="0" applyFont="1" applyBorder="1" applyAlignment="1" applyProtection="1">
      <alignment horizontal="center" vertical="center" wrapText="1"/>
      <protection locked="0"/>
    </xf>
    <xf numFmtId="0" fontId="5" fillId="0" borderId="17" xfId="0" applyFont="1" applyBorder="1" applyAlignment="1" applyProtection="1">
      <alignment horizontal="center" vertical="center"/>
      <protection locked="0"/>
    </xf>
    <xf numFmtId="0" fontId="5" fillId="0" borderId="19" xfId="0" applyFont="1" applyBorder="1" applyAlignment="1" applyProtection="1">
      <alignment horizontal="center" vertical="center"/>
      <protection locked="0"/>
    </xf>
    <xf numFmtId="0" fontId="5" fillId="4" borderId="156" xfId="0" applyFont="1" applyFill="1" applyBorder="1" applyAlignment="1" applyProtection="1">
      <alignment horizontal="center" vertical="center"/>
      <protection locked="0"/>
    </xf>
    <xf numFmtId="0" fontId="5" fillId="4" borderId="168" xfId="0" applyFont="1" applyFill="1" applyBorder="1" applyAlignment="1" applyProtection="1">
      <alignment horizontal="center" vertical="center"/>
      <protection locked="0"/>
    </xf>
    <xf numFmtId="0" fontId="5" fillId="3" borderId="185" xfId="0" applyFont="1" applyFill="1" applyBorder="1" applyAlignment="1" applyProtection="1">
      <alignment horizontal="center" vertical="center"/>
      <protection locked="0"/>
    </xf>
    <xf numFmtId="0" fontId="5" fillId="3" borderId="165" xfId="0" applyFont="1" applyFill="1" applyBorder="1" applyAlignment="1" applyProtection="1">
      <alignment horizontal="center" vertical="center"/>
      <protection locked="0"/>
    </xf>
    <xf numFmtId="0" fontId="5" fillId="4" borderId="82" xfId="0" applyFont="1" applyFill="1" applyBorder="1" applyAlignment="1" applyProtection="1">
      <alignment horizontal="center" vertical="center"/>
      <protection locked="0"/>
    </xf>
    <xf numFmtId="0" fontId="5" fillId="4" borderId="83" xfId="0" applyFont="1" applyFill="1" applyBorder="1" applyAlignment="1" applyProtection="1">
      <alignment horizontal="center" vertical="center"/>
      <protection locked="0"/>
    </xf>
    <xf numFmtId="0" fontId="5" fillId="3" borderId="84" xfId="0" applyFont="1" applyFill="1" applyBorder="1" applyAlignment="1" applyProtection="1">
      <alignment horizontal="center" vertical="center"/>
      <protection locked="0"/>
    </xf>
    <xf numFmtId="0" fontId="5" fillId="3" borderId="85" xfId="0" applyFont="1" applyFill="1" applyBorder="1" applyAlignment="1" applyProtection="1">
      <alignment horizontal="center" vertical="center"/>
      <protection locked="0"/>
    </xf>
    <xf numFmtId="0" fontId="5" fillId="4" borderId="194" xfId="0" applyFont="1" applyFill="1" applyBorder="1" applyAlignment="1" applyProtection="1">
      <alignment horizontal="center" vertical="center"/>
      <protection locked="0"/>
    </xf>
    <xf numFmtId="0" fontId="5" fillId="4" borderId="16" xfId="0" applyFont="1" applyFill="1" applyBorder="1" applyAlignment="1" applyProtection="1">
      <alignment horizontal="center" vertical="center"/>
      <protection locked="0"/>
    </xf>
    <xf numFmtId="0" fontId="5" fillId="3" borderId="199" xfId="0" applyFont="1" applyFill="1" applyBorder="1" applyAlignment="1" applyProtection="1">
      <alignment horizontal="center" vertical="center"/>
      <protection locked="0"/>
    </xf>
    <xf numFmtId="0" fontId="5" fillId="3" borderId="200" xfId="0" applyFont="1" applyFill="1" applyBorder="1" applyAlignment="1" applyProtection="1">
      <alignment horizontal="center" vertical="center"/>
      <protection locked="0"/>
    </xf>
    <xf numFmtId="0" fontId="5" fillId="4" borderId="186" xfId="0" applyFont="1" applyFill="1" applyBorder="1" applyAlignment="1" applyProtection="1">
      <alignment horizontal="center" vertical="center"/>
      <protection locked="0"/>
    </xf>
    <xf numFmtId="0" fontId="5" fillId="4" borderId="202" xfId="0" applyFont="1" applyFill="1" applyBorder="1" applyAlignment="1" applyProtection="1">
      <alignment horizontal="center" vertical="center"/>
      <protection locked="0"/>
    </xf>
    <xf numFmtId="0" fontId="5" fillId="3" borderId="203" xfId="0" applyFont="1" applyFill="1" applyBorder="1" applyAlignment="1" applyProtection="1">
      <alignment horizontal="center" vertical="center"/>
      <protection locked="0"/>
    </xf>
    <xf numFmtId="0" fontId="5" fillId="3" borderId="204" xfId="0" applyFont="1" applyFill="1" applyBorder="1" applyAlignment="1" applyProtection="1">
      <alignment horizontal="center" vertical="center"/>
      <protection locked="0"/>
    </xf>
    <xf numFmtId="0" fontId="12" fillId="6" borderId="81" xfId="0" applyFont="1" applyFill="1" applyBorder="1" applyAlignment="1" applyProtection="1">
      <alignment horizontal="left" vertical="center"/>
      <protection locked="0"/>
    </xf>
    <xf numFmtId="0" fontId="5" fillId="3" borderId="1"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13" xfId="0" applyFont="1" applyFill="1" applyBorder="1" applyAlignment="1" applyProtection="1">
      <alignment horizontal="center" vertical="center"/>
      <protection locked="0"/>
    </xf>
    <xf numFmtId="0" fontId="5" fillId="3" borderId="109" xfId="0" applyFont="1" applyFill="1" applyBorder="1" applyAlignment="1" applyProtection="1">
      <alignment horizontal="center" vertical="center"/>
      <protection locked="0"/>
    </xf>
    <xf numFmtId="0" fontId="5" fillId="3" borderId="19" xfId="0" applyFont="1" applyFill="1" applyBorder="1" applyAlignment="1" applyProtection="1">
      <alignment horizontal="center" vertical="center"/>
      <protection locked="0"/>
    </xf>
    <xf numFmtId="0" fontId="5" fillId="4" borderId="62" xfId="0" applyFont="1" applyFill="1" applyBorder="1" applyAlignment="1" applyProtection="1">
      <alignment horizontal="center" vertical="center"/>
      <protection locked="0"/>
    </xf>
    <xf numFmtId="0" fontId="5" fillId="4" borderId="22" xfId="0" applyFont="1" applyFill="1" applyBorder="1" applyAlignment="1" applyProtection="1">
      <alignment horizontal="center" vertical="center"/>
      <protection locked="0"/>
    </xf>
    <xf numFmtId="0" fontId="5" fillId="3" borderId="110" xfId="0" applyFont="1" applyFill="1" applyBorder="1" applyAlignment="1" applyProtection="1">
      <alignment horizontal="center" vertical="center"/>
      <protection locked="0"/>
    </xf>
    <xf numFmtId="0" fontId="5" fillId="3" borderId="23" xfId="0" applyFont="1" applyFill="1" applyBorder="1" applyAlignment="1" applyProtection="1">
      <alignment horizontal="center" vertical="center"/>
      <protection locked="0"/>
    </xf>
    <xf numFmtId="0" fontId="5" fillId="3" borderId="120" xfId="0" applyFont="1" applyFill="1" applyBorder="1" applyAlignment="1" applyProtection="1">
      <alignment horizontal="center" vertical="center"/>
      <protection locked="0"/>
    </xf>
    <xf numFmtId="0" fontId="5" fillId="3" borderId="92" xfId="0" applyFont="1" applyFill="1" applyBorder="1" applyAlignment="1" applyProtection="1">
      <alignment horizontal="center" vertical="center"/>
      <protection locked="0"/>
    </xf>
    <xf numFmtId="0" fontId="5" fillId="3" borderId="125" xfId="0" applyFont="1" applyFill="1" applyBorder="1" applyAlignment="1" applyProtection="1">
      <alignment horizontal="center" vertical="center"/>
      <protection locked="0"/>
    </xf>
    <xf numFmtId="0" fontId="16" fillId="3" borderId="65" xfId="0" applyFont="1" applyFill="1" applyBorder="1" applyAlignment="1" applyProtection="1">
      <alignment horizontal="left" vertical="center" wrapText="1"/>
      <protection locked="0"/>
    </xf>
    <xf numFmtId="0" fontId="16" fillId="0" borderId="34" xfId="0" applyFont="1" applyBorder="1" applyAlignment="1" applyProtection="1">
      <alignment horizontal="left" vertical="center" wrapText="1"/>
      <protection locked="0"/>
    </xf>
    <xf numFmtId="0" fontId="16" fillId="0" borderId="131" xfId="0" applyFont="1" applyBorder="1" applyAlignment="1" applyProtection="1">
      <alignment horizontal="left" vertical="center" wrapText="1"/>
      <protection locked="0"/>
    </xf>
    <xf numFmtId="0" fontId="5" fillId="4" borderId="53" xfId="0" applyFont="1" applyFill="1" applyBorder="1" applyAlignment="1" applyProtection="1">
      <alignment horizontal="center" vertical="center"/>
      <protection locked="0"/>
    </xf>
    <xf numFmtId="0" fontId="5" fillId="4" borderId="209" xfId="0" applyFont="1" applyFill="1" applyBorder="1" applyAlignment="1" applyProtection="1">
      <alignment horizontal="center" vertical="center"/>
      <protection locked="0"/>
    </xf>
    <xf numFmtId="0" fontId="5" fillId="3" borderId="213" xfId="0" applyFont="1" applyFill="1" applyBorder="1" applyAlignment="1" applyProtection="1">
      <alignment horizontal="center" vertical="center"/>
      <protection locked="0"/>
    </xf>
    <xf numFmtId="0" fontId="5" fillId="3" borderId="214" xfId="0" applyFont="1" applyFill="1" applyBorder="1" applyAlignment="1" applyProtection="1">
      <alignment horizontal="center" vertical="center"/>
      <protection locked="0"/>
    </xf>
    <xf numFmtId="0" fontId="5" fillId="0" borderId="40" xfId="0" applyFont="1" applyBorder="1" applyAlignment="1" applyProtection="1">
      <alignment horizontal="center" vertical="center"/>
      <protection locked="0"/>
    </xf>
    <xf numFmtId="0" fontId="5" fillId="0" borderId="36" xfId="0" applyFont="1" applyBorder="1" applyAlignment="1" applyProtection="1">
      <alignment horizontal="center" vertical="center"/>
      <protection locked="0"/>
    </xf>
    <xf numFmtId="0" fontId="5" fillId="0" borderId="128" xfId="0" applyFont="1" applyBorder="1" applyAlignment="1" applyProtection="1">
      <alignment horizontal="center" vertical="center"/>
      <protection locked="0"/>
    </xf>
    <xf numFmtId="0" fontId="5" fillId="0" borderId="127" xfId="0" applyFont="1" applyBorder="1" applyAlignment="1" applyProtection="1">
      <alignment horizontal="center" vertical="center"/>
      <protection locked="0"/>
    </xf>
    <xf numFmtId="0" fontId="5" fillId="0" borderId="135" xfId="0" applyFont="1" applyBorder="1" applyAlignment="1" applyProtection="1">
      <alignment horizontal="center" vertical="center"/>
      <protection locked="0"/>
    </xf>
    <xf numFmtId="0" fontId="5" fillId="0" borderId="98" xfId="0" applyFont="1" applyBorder="1" applyAlignment="1" applyProtection="1">
      <alignment horizontal="center" vertical="center"/>
      <protection locked="0"/>
    </xf>
    <xf numFmtId="0" fontId="16" fillId="3" borderId="74" xfId="0" applyFont="1" applyFill="1" applyBorder="1" applyAlignment="1" applyProtection="1">
      <alignment horizontal="center" vertical="center"/>
      <protection locked="0"/>
    </xf>
    <xf numFmtId="0" fontId="5" fillId="4" borderId="90" xfId="0" applyFont="1" applyFill="1" applyBorder="1" applyAlignment="1" applyProtection="1">
      <protection locked="0"/>
    </xf>
    <xf numFmtId="0" fontId="5" fillId="4" borderId="230" xfId="0" applyFont="1" applyFill="1" applyBorder="1" applyProtection="1">
      <protection locked="0"/>
    </xf>
    <xf numFmtId="0" fontId="5" fillId="3" borderId="230" xfId="0" applyFont="1" applyFill="1" applyBorder="1" applyAlignment="1" applyProtection="1">
      <protection locked="0"/>
    </xf>
    <xf numFmtId="0" fontId="5" fillId="3" borderId="88" xfId="0" applyFont="1" applyFill="1" applyBorder="1" applyProtection="1">
      <protection locked="0"/>
    </xf>
    <xf numFmtId="0" fontId="5" fillId="0" borderId="59" xfId="0" applyFont="1" applyBorder="1" applyAlignment="1" applyProtection="1">
      <alignment horizontal="center" vertical="center" wrapText="1"/>
      <protection locked="0"/>
    </xf>
    <xf numFmtId="0" fontId="5" fillId="4" borderId="95" xfId="0" applyFont="1" applyFill="1" applyBorder="1" applyAlignment="1" applyProtection="1">
      <protection locked="0"/>
    </xf>
    <xf numFmtId="0" fontId="5" fillId="4" borderId="226" xfId="0" applyFont="1" applyFill="1" applyBorder="1" applyProtection="1">
      <protection locked="0"/>
    </xf>
    <xf numFmtId="0" fontId="5" fillId="3" borderId="226" xfId="0" applyFont="1" applyFill="1" applyBorder="1" applyAlignment="1" applyProtection="1">
      <protection locked="0"/>
    </xf>
    <xf numFmtId="0" fontId="5" fillId="3" borderId="136" xfId="0" applyFont="1" applyFill="1" applyBorder="1" applyProtection="1">
      <protection locked="0"/>
    </xf>
    <xf numFmtId="0" fontId="5" fillId="4" borderId="156" xfId="0" applyFont="1" applyFill="1" applyBorder="1" applyAlignment="1" applyProtection="1">
      <protection locked="0"/>
    </xf>
    <xf numFmtId="0" fontId="5" fillId="4" borderId="236" xfId="0" applyFont="1" applyFill="1" applyBorder="1" applyProtection="1">
      <protection locked="0"/>
    </xf>
    <xf numFmtId="0" fontId="5" fillId="3" borderId="236" xfId="0" applyFont="1" applyFill="1" applyBorder="1" applyAlignment="1" applyProtection="1">
      <protection locked="0"/>
    </xf>
    <xf numFmtId="0" fontId="5" fillId="3" borderId="139" xfId="0" applyFont="1" applyFill="1" applyBorder="1" applyProtection="1">
      <protection locked="0"/>
    </xf>
    <xf numFmtId="0" fontId="5" fillId="4" borderId="124" xfId="0" applyFont="1" applyFill="1" applyBorder="1" applyAlignment="1" applyProtection="1">
      <protection locked="0"/>
    </xf>
    <xf numFmtId="0" fontId="5" fillId="4" borderId="237" xfId="0" applyFont="1" applyFill="1" applyBorder="1" applyProtection="1">
      <protection locked="0"/>
    </xf>
    <xf numFmtId="0" fontId="5" fillId="3" borderId="237" xfId="0" applyFont="1" applyFill="1" applyBorder="1" applyAlignment="1" applyProtection="1">
      <protection locked="0"/>
    </xf>
    <xf numFmtId="0" fontId="5" fillId="3" borderId="129" xfId="0" applyFont="1" applyFill="1" applyBorder="1" applyProtection="1">
      <protection locked="0"/>
    </xf>
    <xf numFmtId="0" fontId="5" fillId="4" borderId="119" xfId="0" applyFont="1" applyFill="1" applyBorder="1" applyAlignment="1" applyProtection="1">
      <alignment horizontal="center"/>
      <protection locked="0"/>
    </xf>
    <xf numFmtId="0" fontId="5" fillId="4" borderId="120" xfId="0" applyFont="1" applyFill="1" applyBorder="1" applyAlignment="1" applyProtection="1">
      <alignment horizontal="center"/>
      <protection locked="0"/>
    </xf>
    <xf numFmtId="0" fontId="5" fillId="3" borderId="121" xfId="0" applyFont="1" applyFill="1" applyBorder="1" applyAlignment="1" applyProtection="1">
      <alignment horizontal="center"/>
      <protection locked="0"/>
    </xf>
    <xf numFmtId="0" fontId="5" fillId="3" borderId="122" xfId="0" applyFont="1" applyFill="1" applyBorder="1" applyAlignment="1" applyProtection="1">
      <alignment horizontal="center"/>
      <protection locked="0"/>
    </xf>
    <xf numFmtId="0" fontId="5" fillId="4" borderId="90" xfId="0" applyFont="1" applyFill="1" applyBorder="1" applyAlignment="1" applyProtection="1">
      <alignment horizontal="center"/>
      <protection locked="0"/>
    </xf>
    <xf numFmtId="0" fontId="5" fillId="4" borderId="92" xfId="0" applyFont="1" applyFill="1" applyBorder="1" applyAlignment="1" applyProtection="1">
      <alignment horizontal="center"/>
      <protection locked="0"/>
    </xf>
    <xf numFmtId="0" fontId="5" fillId="3" borderId="93" xfId="0" applyFont="1" applyFill="1" applyBorder="1" applyAlignment="1" applyProtection="1">
      <alignment horizontal="center"/>
      <protection locked="0"/>
    </xf>
    <xf numFmtId="0" fontId="5" fillId="3" borderId="91" xfId="0" applyFont="1" applyFill="1" applyBorder="1" applyAlignment="1" applyProtection="1">
      <alignment horizontal="center"/>
      <protection locked="0"/>
    </xf>
    <xf numFmtId="0" fontId="16" fillId="3" borderId="52" xfId="0" applyFont="1" applyFill="1" applyBorder="1" applyAlignment="1" applyProtection="1">
      <alignment horizontal="left" vertical="center" wrapText="1"/>
      <protection locked="0"/>
    </xf>
    <xf numFmtId="0" fontId="16" fillId="3" borderId="238" xfId="0" applyFont="1" applyFill="1" applyBorder="1" applyAlignment="1" applyProtection="1">
      <alignment horizontal="left" vertical="center" wrapText="1"/>
      <protection locked="0"/>
    </xf>
    <xf numFmtId="0" fontId="16" fillId="0" borderId="89" xfId="0" applyFont="1" applyBorder="1" applyAlignment="1" applyProtection="1">
      <alignment horizontal="left" vertical="center" wrapText="1"/>
      <protection locked="0"/>
    </xf>
    <xf numFmtId="0" fontId="16" fillId="0" borderId="103" xfId="0" applyFont="1" applyBorder="1" applyAlignment="1" applyProtection="1">
      <alignment horizontal="left" vertical="center" wrapText="1"/>
      <protection locked="0"/>
    </xf>
    <xf numFmtId="49" fontId="5" fillId="0" borderId="166" xfId="0" applyNumberFormat="1" applyFont="1" applyBorder="1" applyAlignment="1" applyProtection="1">
      <alignment horizontal="center" vertical="center" wrapText="1"/>
      <protection locked="0"/>
    </xf>
    <xf numFmtId="0" fontId="4" fillId="0" borderId="0" xfId="0" applyFont="1" applyProtection="1">
      <protection locked="0"/>
    </xf>
    <xf numFmtId="0" fontId="4" fillId="0" borderId="0" xfId="0" applyFont="1" applyAlignment="1" applyProtection="1">
      <protection locked="0"/>
    </xf>
    <xf numFmtId="0" fontId="28" fillId="0" borderId="59" xfId="0" applyFont="1" applyBorder="1" applyAlignment="1" applyProtection="1">
      <alignment horizontal="center" vertical="center" wrapText="1"/>
      <protection locked="0"/>
    </xf>
    <xf numFmtId="0" fontId="4" fillId="0" borderId="0" xfId="0" applyFont="1" applyAlignment="1" applyProtection="1">
      <alignment vertical="center"/>
      <protection locked="0"/>
    </xf>
    <xf numFmtId="0" fontId="5" fillId="0" borderId="0" xfId="0" applyFont="1" applyAlignment="1" applyProtection="1">
      <alignment vertical="center"/>
      <protection locked="0"/>
    </xf>
    <xf numFmtId="1" fontId="13" fillId="0" borderId="220" xfId="0" applyNumberFormat="1" applyFont="1" applyBorder="1" applyAlignment="1">
      <alignment horizontal="center" vertical="center"/>
    </xf>
    <xf numFmtId="0" fontId="1" fillId="0" borderId="0" xfId="0" applyFont="1" applyAlignment="1"/>
    <xf numFmtId="0" fontId="5" fillId="4" borderId="250" xfId="0" applyFont="1" applyFill="1" applyBorder="1" applyAlignment="1" applyProtection="1">
      <alignment horizontal="center" vertical="center"/>
      <protection locked="0"/>
    </xf>
    <xf numFmtId="0" fontId="5" fillId="4" borderId="251" xfId="0" applyFont="1" applyFill="1" applyBorder="1" applyAlignment="1" applyProtection="1">
      <alignment horizontal="center" vertical="center"/>
      <protection locked="0"/>
    </xf>
    <xf numFmtId="0" fontId="5" fillId="3" borderId="252" xfId="0" applyFont="1" applyFill="1" applyBorder="1" applyAlignment="1" applyProtection="1">
      <alignment horizontal="center" vertical="center"/>
      <protection locked="0"/>
    </xf>
    <xf numFmtId="0" fontId="5" fillId="3" borderId="253" xfId="0" applyFont="1" applyFill="1" applyBorder="1" applyAlignment="1" applyProtection="1">
      <alignment horizontal="center" vertical="center"/>
      <protection locked="0"/>
    </xf>
    <xf numFmtId="0" fontId="5" fillId="7" borderId="164" xfId="0" applyFont="1" applyFill="1" applyBorder="1" applyAlignment="1">
      <alignment horizontal="left" vertical="center"/>
    </xf>
    <xf numFmtId="0" fontId="33" fillId="7" borderId="230" xfId="0" applyFont="1" applyFill="1" applyBorder="1" applyAlignment="1">
      <alignment horizontal="left" vertical="center"/>
    </xf>
    <xf numFmtId="49" fontId="5" fillId="7" borderId="164" xfId="0" applyNumberFormat="1" applyFont="1" applyFill="1" applyBorder="1" applyAlignment="1" applyProtection="1">
      <alignment horizontal="center" vertical="center" wrapText="1"/>
      <protection locked="0"/>
    </xf>
    <xf numFmtId="164" fontId="5" fillId="7" borderId="103" xfId="0" applyNumberFormat="1" applyFont="1" applyFill="1" applyBorder="1" applyAlignment="1">
      <alignment horizontal="center" vertical="center"/>
    </xf>
    <xf numFmtId="0" fontId="5" fillId="7" borderId="89" xfId="0" applyFont="1" applyFill="1" applyBorder="1" applyAlignment="1">
      <alignment horizontal="left" vertical="center" wrapText="1"/>
    </xf>
    <xf numFmtId="0" fontId="5" fillId="7" borderId="0" xfId="0" applyFont="1" applyFill="1" applyAlignment="1">
      <alignment vertical="center"/>
    </xf>
    <xf numFmtId="0" fontId="14" fillId="7" borderId="0" xfId="0" applyFont="1" applyFill="1" applyAlignment="1">
      <alignment vertical="center"/>
    </xf>
    <xf numFmtId="0" fontId="5" fillId="7" borderId="0" xfId="0" applyFont="1" applyFill="1" applyAlignment="1"/>
    <xf numFmtId="0" fontId="5" fillId="7" borderId="0" xfId="0" applyFont="1" applyFill="1"/>
    <xf numFmtId="0" fontId="4" fillId="7" borderId="0" xfId="0" applyFont="1" applyFill="1" applyAlignment="1"/>
    <xf numFmtId="0" fontId="12" fillId="5" borderId="80" xfId="0" applyFont="1" applyFill="1" applyBorder="1"/>
    <xf numFmtId="0" fontId="12" fillId="5" borderId="80" xfId="0" applyFont="1" applyFill="1" applyBorder="1" applyProtection="1">
      <protection locked="0"/>
    </xf>
    <xf numFmtId="0" fontId="12" fillId="6" borderId="80" xfId="0" applyFont="1" applyFill="1" applyBorder="1" applyProtection="1">
      <protection locked="0"/>
    </xf>
    <xf numFmtId="0" fontId="12" fillId="5" borderId="81" xfId="0" applyFont="1" applyFill="1" applyBorder="1" applyProtection="1">
      <protection locked="0"/>
    </xf>
    <xf numFmtId="0" fontId="12" fillId="6" borderId="81" xfId="0" applyFont="1" applyFill="1" applyBorder="1" applyProtection="1">
      <protection locked="0"/>
    </xf>
    <xf numFmtId="0" fontId="12" fillId="5" borderId="81" xfId="0" applyFont="1" applyFill="1" applyBorder="1" applyAlignment="1">
      <alignment horizontal="left" vertical="top"/>
    </xf>
    <xf numFmtId="0" fontId="12" fillId="5" borderId="81" xfId="0" applyFont="1" applyFill="1" applyBorder="1" applyAlignment="1" applyProtection="1">
      <alignment vertical="top"/>
      <protection locked="0"/>
    </xf>
    <xf numFmtId="0" fontId="12" fillId="5" borderId="81" xfId="0" applyFont="1" applyFill="1" applyBorder="1" applyAlignment="1" applyProtection="1">
      <alignment horizontal="left" vertical="top"/>
      <protection locked="0"/>
    </xf>
    <xf numFmtId="0" fontId="12" fillId="5" borderId="81" xfId="0" applyFont="1" applyFill="1" applyBorder="1" applyAlignment="1" applyProtection="1">
      <alignment vertical="center"/>
      <protection locked="0"/>
    </xf>
    <xf numFmtId="0" fontId="12" fillId="5" borderId="81" xfId="0" applyFont="1" applyFill="1" applyBorder="1" applyAlignment="1">
      <alignment horizontal="left" vertical="center"/>
    </xf>
    <xf numFmtId="0" fontId="12" fillId="5" borderId="81" xfId="0" applyFont="1" applyFill="1" applyBorder="1" applyAlignment="1" applyProtection="1">
      <alignment horizontal="left" vertical="center"/>
      <protection locked="0"/>
    </xf>
    <xf numFmtId="0" fontId="2" fillId="5" borderId="81" xfId="0" applyFont="1" applyFill="1" applyBorder="1" applyAlignment="1">
      <alignment horizontal="left" vertical="center"/>
    </xf>
    <xf numFmtId="0" fontId="2" fillId="5" borderId="81" xfId="0" applyFont="1" applyFill="1" applyBorder="1" applyAlignment="1">
      <alignment horizontal="center" vertical="top"/>
    </xf>
    <xf numFmtId="0" fontId="2" fillId="5" borderId="81" xfId="0" applyFont="1" applyFill="1" applyBorder="1" applyAlignment="1">
      <alignment vertical="top"/>
    </xf>
    <xf numFmtId="0" fontId="2" fillId="5" borderId="81" xfId="0" applyFont="1" applyFill="1" applyBorder="1" applyAlignment="1">
      <alignment horizontal="center"/>
    </xf>
    <xf numFmtId="0" fontId="31" fillId="5" borderId="81" xfId="0" applyFont="1" applyFill="1" applyBorder="1" applyAlignment="1"/>
    <xf numFmtId="0" fontId="12" fillId="5" borderId="81" xfId="0" applyFont="1" applyFill="1" applyBorder="1" applyAlignment="1">
      <alignment horizontal="left" vertical="center" wrapText="1"/>
    </xf>
    <xf numFmtId="0" fontId="2" fillId="6" borderId="114" xfId="0" applyFont="1" applyFill="1" applyBorder="1" applyAlignment="1" applyProtection="1">
      <alignment horizontal="left" vertical="center" wrapText="1"/>
      <protection locked="0"/>
    </xf>
    <xf numFmtId="0" fontId="2" fillId="5" borderId="132" xfId="0" applyFont="1" applyFill="1" applyBorder="1" applyAlignment="1">
      <alignment horizontal="center"/>
    </xf>
    <xf numFmtId="0" fontId="2" fillId="5" borderId="132" xfId="0" applyFont="1" applyFill="1" applyBorder="1" applyAlignment="1"/>
    <xf numFmtId="0" fontId="2" fillId="5" borderId="81" xfId="0" applyFont="1" applyFill="1" applyBorder="1" applyAlignment="1">
      <alignment horizontal="center" vertical="center"/>
    </xf>
    <xf numFmtId="0" fontId="12" fillId="6" borderId="81" xfId="0" applyFont="1" applyFill="1" applyBorder="1" applyAlignment="1">
      <alignment horizontal="left" vertical="center" wrapText="1"/>
    </xf>
    <xf numFmtId="0" fontId="12" fillId="0" borderId="0" xfId="0" applyFont="1" applyAlignment="1">
      <alignment horizontal="left" vertical="center" wrapText="1"/>
    </xf>
    <xf numFmtId="0" fontId="29" fillId="5" borderId="81" xfId="0" applyFont="1" applyFill="1" applyBorder="1" applyAlignment="1">
      <alignment horizontal="center" vertical="center" wrapText="1"/>
    </xf>
    <xf numFmtId="0" fontId="2" fillId="5" borderId="114" xfId="0" applyFont="1" applyFill="1" applyBorder="1" applyAlignment="1" applyProtection="1">
      <alignment horizontal="left" vertical="center" wrapText="1"/>
      <protection locked="0"/>
    </xf>
    <xf numFmtId="0" fontId="12" fillId="8" borderId="211" xfId="0" applyFont="1" applyFill="1" applyBorder="1" applyAlignment="1">
      <alignment horizontal="center" vertical="top"/>
    </xf>
    <xf numFmtId="0" fontId="16" fillId="8" borderId="212" xfId="0" applyFont="1" applyFill="1" applyBorder="1" applyAlignment="1">
      <alignment horizontal="left" vertical="center" wrapText="1"/>
    </xf>
    <xf numFmtId="0" fontId="5" fillId="4" borderId="156" xfId="0" applyFont="1" applyFill="1" applyBorder="1" applyAlignment="1" applyProtection="1">
      <alignment horizontal="center" vertical="center"/>
      <protection locked="0"/>
    </xf>
    <xf numFmtId="0" fontId="5" fillId="4" borderId="168" xfId="0" applyFont="1" applyFill="1" applyBorder="1" applyAlignment="1" applyProtection="1">
      <alignment horizontal="center" vertical="center"/>
      <protection locked="0"/>
    </xf>
    <xf numFmtId="0" fontId="5" fillId="3" borderId="165" xfId="0" applyFont="1" applyFill="1" applyBorder="1" applyAlignment="1" applyProtection="1">
      <alignment horizontal="center" vertical="center"/>
      <protection locked="0"/>
    </xf>
    <xf numFmtId="0" fontId="5" fillId="3" borderId="185" xfId="0" applyFont="1" applyFill="1" applyBorder="1" applyAlignment="1" applyProtection="1">
      <alignment horizontal="center" vertical="center"/>
      <protection locked="0"/>
    </xf>
    <xf numFmtId="0" fontId="17" fillId="0" borderId="0" xfId="1" applyFont="1" applyAlignment="1"/>
    <xf numFmtId="0" fontId="4" fillId="0" borderId="0" xfId="0" applyFont="1" applyAlignment="1"/>
    <xf numFmtId="0" fontId="5" fillId="0" borderId="0" xfId="0" applyFont="1"/>
    <xf numFmtId="0" fontId="14" fillId="0" borderId="0" xfId="0" applyFont="1" applyAlignment="1"/>
    <xf numFmtId="0" fontId="17" fillId="0" borderId="0" xfId="1" applyFont="1" applyAlignment="1">
      <alignment vertical="center"/>
    </xf>
    <xf numFmtId="0" fontId="29" fillId="5" borderId="254" xfId="0" applyFont="1" applyFill="1" applyBorder="1" applyAlignment="1">
      <alignment horizontal="center" vertical="center"/>
    </xf>
    <xf numFmtId="0" fontId="29" fillId="5" borderId="254" xfId="0" applyFont="1" applyFill="1" applyBorder="1" applyAlignment="1">
      <alignment vertical="center"/>
    </xf>
    <xf numFmtId="0" fontId="4" fillId="0" borderId="0" xfId="0" applyFont="1" applyAlignment="1"/>
    <xf numFmtId="0" fontId="14" fillId="0" borderId="0" xfId="0" applyFont="1" applyAlignment="1">
      <alignment vertical="center"/>
    </xf>
    <xf numFmtId="0" fontId="14" fillId="0" borderId="0" xfId="0" applyFont="1" applyAlignment="1"/>
    <xf numFmtId="0" fontId="5" fillId="0" borderId="0" xfId="0" applyFont="1"/>
    <xf numFmtId="0" fontId="5" fillId="0" borderId="179" xfId="0" applyFont="1" applyBorder="1" applyAlignment="1">
      <alignment horizontal="center" vertical="top"/>
    </xf>
    <xf numFmtId="0" fontId="5" fillId="0" borderId="198" xfId="0" applyFont="1" applyBorder="1" applyAlignment="1">
      <alignment horizontal="left" vertical="center"/>
    </xf>
    <xf numFmtId="0" fontId="4" fillId="0" borderId="0" xfId="0" applyFont="1" applyAlignment="1"/>
    <xf numFmtId="0" fontId="5" fillId="0" borderId="0" xfId="0" applyFont="1"/>
    <xf numFmtId="0" fontId="5" fillId="3" borderId="185" xfId="0" applyFont="1" applyFill="1" applyBorder="1" applyAlignment="1" applyProtection="1">
      <alignment horizontal="center" vertical="center"/>
      <protection locked="0"/>
    </xf>
    <xf numFmtId="0" fontId="5" fillId="3" borderId="165" xfId="0" applyFont="1" applyFill="1" applyBorder="1" applyAlignment="1" applyProtection="1">
      <alignment horizontal="center" vertical="center"/>
      <protection locked="0"/>
    </xf>
    <xf numFmtId="0" fontId="5" fillId="4" borderId="168" xfId="0" applyFont="1" applyFill="1" applyBorder="1" applyAlignment="1" applyProtection="1">
      <alignment horizontal="center" vertical="center"/>
      <protection locked="0"/>
    </xf>
    <xf numFmtId="0" fontId="5" fillId="4" borderId="156" xfId="0" applyFont="1" applyFill="1" applyBorder="1" applyAlignment="1" applyProtection="1">
      <alignment horizontal="center" vertical="center"/>
      <protection locked="0"/>
    </xf>
    <xf numFmtId="0" fontId="47" fillId="0" borderId="0" xfId="0" applyFont="1"/>
    <xf numFmtId="0" fontId="5" fillId="0" borderId="0" xfId="0" applyFont="1" applyAlignment="1">
      <alignment vertical="center"/>
    </xf>
    <xf numFmtId="0" fontId="4" fillId="0" borderId="0" xfId="0" applyFont="1" applyAlignment="1"/>
    <xf numFmtId="0" fontId="14" fillId="0" borderId="0" xfId="0" applyFont="1" applyAlignment="1">
      <alignment vertical="center"/>
    </xf>
    <xf numFmtId="0" fontId="5" fillId="0" borderId="0" xfId="0" applyFont="1"/>
    <xf numFmtId="0" fontId="14" fillId="0" borderId="0" xfId="0" applyFont="1" applyAlignment="1"/>
    <xf numFmtId="0" fontId="5" fillId="0" borderId="59" xfId="0" applyFont="1" applyBorder="1" applyAlignment="1">
      <alignment horizontal="center" vertical="center" wrapText="1"/>
    </xf>
    <xf numFmtId="49" fontId="5" fillId="0" borderId="103" xfId="0" applyNumberFormat="1" applyFont="1" applyBorder="1" applyAlignment="1" applyProtection="1">
      <alignment horizontal="center" vertical="center" wrapText="1"/>
      <protection locked="0"/>
    </xf>
    <xf numFmtId="0" fontId="5" fillId="3" borderId="185" xfId="0" applyFont="1" applyFill="1" applyBorder="1" applyAlignment="1" applyProtection="1">
      <alignment horizontal="center" vertical="center"/>
      <protection locked="0"/>
    </xf>
    <xf numFmtId="0" fontId="5" fillId="3" borderId="165" xfId="0" applyFont="1" applyFill="1" applyBorder="1" applyAlignment="1" applyProtection="1">
      <alignment horizontal="center" vertical="center"/>
      <protection locked="0"/>
    </xf>
    <xf numFmtId="0" fontId="5" fillId="4" borderId="168" xfId="0" applyFont="1" applyFill="1" applyBorder="1" applyAlignment="1" applyProtection="1">
      <alignment horizontal="center" vertical="center"/>
      <protection locked="0"/>
    </xf>
    <xf numFmtId="0" fontId="5" fillId="4" borderId="156" xfId="0" applyFont="1" applyFill="1" applyBorder="1" applyAlignment="1" applyProtection="1">
      <alignment horizontal="center" vertical="center"/>
      <protection locked="0"/>
    </xf>
    <xf numFmtId="0" fontId="16" fillId="0" borderId="194" xfId="0" applyFont="1" applyBorder="1" applyAlignment="1">
      <alignment horizontal="right" vertical="center" wrapText="1"/>
    </xf>
    <xf numFmtId="0" fontId="21" fillId="0" borderId="257" xfId="0" applyFont="1" applyBorder="1" applyAlignment="1">
      <alignment vertical="center" wrapText="1"/>
    </xf>
    <xf numFmtId="1" fontId="5" fillId="4" borderId="194" xfId="0" applyNumberFormat="1" applyFont="1" applyFill="1" applyBorder="1" applyAlignment="1" applyProtection="1">
      <alignment vertical="center"/>
      <protection locked="0"/>
    </xf>
    <xf numFmtId="0" fontId="5" fillId="4" borderId="220" xfId="0" applyFont="1" applyFill="1" applyBorder="1" applyAlignment="1" applyProtection="1">
      <alignment vertical="center"/>
      <protection locked="0"/>
    </xf>
    <xf numFmtId="0" fontId="5" fillId="3" borderId="220" xfId="0" applyFont="1" applyFill="1" applyBorder="1" applyAlignment="1" applyProtection="1">
      <alignment vertical="center"/>
      <protection locked="0"/>
    </xf>
    <xf numFmtId="0" fontId="5" fillId="3" borderId="200" xfId="0" applyFont="1" applyFill="1" applyBorder="1" applyAlignment="1" applyProtection="1">
      <alignment vertical="center"/>
      <protection locked="0"/>
    </xf>
    <xf numFmtId="0" fontId="16" fillId="0" borderId="238" xfId="0" applyFont="1" applyBorder="1" applyAlignment="1">
      <alignment horizontal="left" vertical="center"/>
    </xf>
    <xf numFmtId="0" fontId="5" fillId="4" borderId="258" xfId="0" applyFont="1" applyFill="1" applyBorder="1" applyAlignment="1" applyProtection="1">
      <alignment horizontal="center" vertical="center"/>
      <protection locked="0"/>
    </xf>
    <xf numFmtId="0" fontId="5" fillId="4" borderId="259" xfId="0" applyFont="1" applyFill="1" applyBorder="1" applyAlignment="1" applyProtection="1">
      <alignment horizontal="center" vertical="center"/>
      <protection locked="0"/>
    </xf>
    <xf numFmtId="0" fontId="5" fillId="3" borderId="260" xfId="0" applyFont="1" applyFill="1" applyBorder="1" applyAlignment="1" applyProtection="1">
      <alignment horizontal="center" vertical="center"/>
      <protection locked="0"/>
    </xf>
    <xf numFmtId="0" fontId="5" fillId="3" borderId="261" xfId="0" applyFont="1" applyFill="1" applyBorder="1" applyAlignment="1" applyProtection="1">
      <alignment horizontal="center" vertical="center"/>
      <protection locked="0"/>
    </xf>
    <xf numFmtId="0" fontId="16" fillId="0" borderId="258" xfId="0" applyFont="1" applyBorder="1" applyAlignment="1">
      <alignment horizontal="left" vertical="center"/>
    </xf>
    <xf numFmtId="0" fontId="5" fillId="0" borderId="263" xfId="0" applyFont="1" applyBorder="1" applyAlignment="1" applyProtection="1">
      <alignment horizontal="center" vertical="center" wrapText="1"/>
      <protection locked="0"/>
    </xf>
    <xf numFmtId="1" fontId="5" fillId="4" borderId="265" xfId="0" applyNumberFormat="1" applyFont="1" applyFill="1" applyBorder="1" applyAlignment="1" applyProtection="1">
      <alignment vertical="center"/>
      <protection locked="0"/>
    </xf>
    <xf numFmtId="0" fontId="5" fillId="4" borderId="266" xfId="0" applyFont="1" applyFill="1" applyBorder="1" applyAlignment="1" applyProtection="1">
      <alignment vertical="center"/>
      <protection locked="0"/>
    </xf>
    <xf numFmtId="0" fontId="5" fillId="3" borderId="266" xfId="0" applyFont="1" applyFill="1" applyBorder="1" applyAlignment="1" applyProtection="1">
      <alignment vertical="center"/>
      <protection locked="0"/>
    </xf>
    <xf numFmtId="0" fontId="5" fillId="3" borderId="267" xfId="0" applyFont="1" applyFill="1" applyBorder="1" applyAlignment="1" applyProtection="1">
      <alignment vertical="center"/>
      <protection locked="0"/>
    </xf>
    <xf numFmtId="0" fontId="16" fillId="0" borderId="268" xfId="0" applyFont="1" applyBorder="1" applyAlignment="1">
      <alignment horizontal="left" vertical="center"/>
    </xf>
    <xf numFmtId="0" fontId="12" fillId="0" borderId="59" xfId="0" applyFont="1" applyBorder="1" applyAlignment="1">
      <alignment horizontal="center" vertical="center" wrapText="1"/>
    </xf>
    <xf numFmtId="49" fontId="5" fillId="0" borderId="268" xfId="0" applyNumberFormat="1" applyFont="1" applyBorder="1" applyAlignment="1" applyProtection="1">
      <alignment horizontal="center" vertical="center" wrapText="1"/>
      <protection locked="0"/>
    </xf>
    <xf numFmtId="164" fontId="12" fillId="0" borderId="74" xfId="0" applyNumberFormat="1" applyFont="1" applyBorder="1" applyAlignment="1">
      <alignment vertical="center"/>
    </xf>
    <xf numFmtId="0" fontId="16" fillId="0" borderId="269" xfId="0" applyFont="1" applyBorder="1" applyAlignment="1" applyProtection="1">
      <alignment horizontal="center" vertical="center"/>
      <protection locked="0"/>
    </xf>
    <xf numFmtId="0" fontId="21" fillId="0" borderId="270" xfId="0" applyFont="1" applyBorder="1" applyAlignment="1" applyProtection="1">
      <alignment horizontal="center" vertical="center"/>
      <protection locked="0"/>
    </xf>
    <xf numFmtId="0" fontId="16" fillId="0" borderId="58" xfId="0" applyFont="1" applyBorder="1" applyAlignment="1" applyProtection="1">
      <alignment horizontal="center" vertical="center"/>
      <protection locked="0"/>
    </xf>
    <xf numFmtId="0" fontId="16" fillId="7" borderId="74" xfId="0" applyFont="1" applyFill="1" applyBorder="1" applyAlignment="1" applyProtection="1">
      <alignment horizontal="center" vertical="center"/>
      <protection locked="0"/>
    </xf>
    <xf numFmtId="0" fontId="16" fillId="0" borderId="205" xfId="0" applyFont="1" applyBorder="1" applyAlignment="1" applyProtection="1">
      <alignment horizontal="center" vertical="center"/>
      <protection locked="0"/>
    </xf>
    <xf numFmtId="0" fontId="16" fillId="0" borderId="0" xfId="0" applyFont="1" applyAlignment="1">
      <alignment vertical="center"/>
    </xf>
    <xf numFmtId="0" fontId="7" fillId="0" borderId="0" xfId="0" applyFont="1" applyAlignment="1"/>
    <xf numFmtId="0" fontId="50" fillId="0" borderId="60" xfId="0" applyFont="1" applyBorder="1" applyAlignment="1">
      <alignment horizontal="left" vertical="center"/>
    </xf>
    <xf numFmtId="0" fontId="50" fillId="0" borderId="9" xfId="0" applyFont="1" applyBorder="1" applyAlignment="1">
      <alignment horizontal="center" vertical="center" wrapText="1"/>
    </xf>
    <xf numFmtId="164" fontId="50" fillId="0" borderId="34" xfId="0" applyNumberFormat="1" applyFont="1" applyBorder="1" applyAlignment="1">
      <alignment horizontal="center" vertical="center"/>
    </xf>
    <xf numFmtId="0" fontId="50" fillId="0" borderId="0" xfId="0" applyFont="1" applyAlignment="1">
      <alignment vertical="center"/>
    </xf>
    <xf numFmtId="0" fontId="50" fillId="0" borderId="0" xfId="0" applyFont="1"/>
    <xf numFmtId="0" fontId="51" fillId="0" borderId="0" xfId="0" applyFont="1" applyAlignment="1"/>
    <xf numFmtId="0" fontId="17" fillId="0" borderId="0" xfId="0" applyFont="1" applyAlignment="1">
      <alignment vertical="center"/>
    </xf>
    <xf numFmtId="0" fontId="16" fillId="0" borderId="270" xfId="0" applyFont="1" applyBorder="1" applyAlignment="1" applyProtection="1">
      <alignment horizontal="center" vertical="center"/>
      <protection locked="0"/>
    </xf>
    <xf numFmtId="0" fontId="16" fillId="0" borderId="257" xfId="0" applyFont="1" applyBorder="1" applyAlignment="1">
      <alignment vertical="center" wrapText="1"/>
    </xf>
    <xf numFmtId="0" fontId="5" fillId="0" borderId="0" xfId="0" applyFont="1"/>
    <xf numFmtId="0" fontId="4" fillId="0" borderId="0" xfId="0" applyFont="1" applyAlignment="1"/>
    <xf numFmtId="0" fontId="5" fillId="0" borderId="0" xfId="0" applyFont="1" applyAlignment="1">
      <alignment vertical="center"/>
    </xf>
    <xf numFmtId="0" fontId="5" fillId="3" borderId="185" xfId="0" applyFont="1" applyFill="1" applyBorder="1" applyAlignment="1" applyProtection="1">
      <alignment horizontal="center" vertical="center"/>
      <protection locked="0"/>
    </xf>
    <xf numFmtId="0" fontId="5" fillId="3" borderId="165" xfId="0" applyFont="1" applyFill="1" applyBorder="1" applyAlignment="1" applyProtection="1">
      <alignment horizontal="center" vertical="center"/>
      <protection locked="0"/>
    </xf>
    <xf numFmtId="0" fontId="16" fillId="3" borderId="156" xfId="0" applyFont="1" applyFill="1" applyBorder="1" applyAlignment="1">
      <alignment horizontal="right" vertical="center"/>
    </xf>
    <xf numFmtId="0" fontId="5" fillId="4" borderId="168" xfId="0" applyFont="1" applyFill="1" applyBorder="1" applyAlignment="1" applyProtection="1">
      <alignment horizontal="center" vertical="center"/>
      <protection locked="0"/>
    </xf>
    <xf numFmtId="0" fontId="5" fillId="4" borderId="156" xfId="0" applyFont="1" applyFill="1" applyBorder="1" applyAlignment="1" applyProtection="1">
      <alignment horizontal="center" vertical="center"/>
      <protection locked="0"/>
    </xf>
    <xf numFmtId="0" fontId="5" fillId="12" borderId="38" xfId="0" applyFont="1" applyFill="1" applyBorder="1" applyAlignment="1">
      <alignment horizontal="center" vertical="center"/>
    </xf>
    <xf numFmtId="0" fontId="12" fillId="12" borderId="51" xfId="0" applyFont="1" applyFill="1" applyBorder="1" applyAlignment="1">
      <alignment horizontal="center" vertical="center"/>
    </xf>
    <xf numFmtId="0" fontId="5" fillId="13" borderId="64" xfId="0" applyFont="1" applyFill="1" applyBorder="1" applyAlignment="1">
      <alignment horizontal="left" vertical="center" wrapText="1"/>
    </xf>
    <xf numFmtId="0" fontId="5" fillId="13" borderId="68" xfId="0" applyFont="1" applyFill="1" applyBorder="1" applyAlignment="1">
      <alignment horizontal="left" vertical="center"/>
    </xf>
    <xf numFmtId="0" fontId="5" fillId="13" borderId="63" xfId="0" applyFont="1" applyFill="1" applyBorder="1" applyAlignment="1">
      <alignment horizontal="left" vertical="center" wrapText="1"/>
    </xf>
    <xf numFmtId="0" fontId="4" fillId="12" borderId="73" xfId="0" applyFont="1" applyFill="1" applyBorder="1" applyAlignment="1">
      <alignment horizontal="center" vertical="center"/>
    </xf>
    <xf numFmtId="0" fontId="27" fillId="12" borderId="38" xfId="0" applyFont="1" applyFill="1" applyBorder="1" applyAlignment="1">
      <alignment horizontal="center" vertical="center"/>
    </xf>
    <xf numFmtId="0" fontId="4" fillId="12" borderId="243" xfId="0" applyFont="1" applyFill="1" applyBorder="1" applyAlignment="1">
      <alignment horizontal="center" vertical="center"/>
    </xf>
    <xf numFmtId="0" fontId="27" fillId="12" borderId="49" xfId="0" applyFont="1" applyFill="1" applyBorder="1" applyAlignment="1">
      <alignment horizontal="center" vertical="center"/>
    </xf>
    <xf numFmtId="0" fontId="12" fillId="5" borderId="181" xfId="0" applyFont="1" applyFill="1" applyBorder="1" applyAlignment="1">
      <alignment horizontal="center"/>
    </xf>
    <xf numFmtId="0" fontId="5" fillId="14" borderId="192" xfId="0" applyFont="1" applyFill="1" applyBorder="1" applyAlignment="1">
      <alignment horizontal="center" vertical="center" wrapText="1"/>
    </xf>
    <xf numFmtId="164" fontId="5" fillId="14" borderId="192" xfId="0" applyNumberFormat="1" applyFont="1" applyFill="1" applyBorder="1" applyAlignment="1">
      <alignment horizontal="center" vertical="center"/>
    </xf>
    <xf numFmtId="0" fontId="5" fillId="14" borderId="192" xfId="0" applyFont="1" applyFill="1" applyBorder="1" applyAlignment="1">
      <alignment horizontal="left" vertical="center" wrapText="1"/>
    </xf>
    <xf numFmtId="0" fontId="16" fillId="14" borderId="193" xfId="0" applyFont="1" applyFill="1" applyBorder="1" applyAlignment="1">
      <alignment horizontal="left" vertical="center" wrapText="1"/>
    </xf>
    <xf numFmtId="0" fontId="5" fillId="14" borderId="118" xfId="0" applyFont="1" applyFill="1" applyBorder="1" applyAlignment="1">
      <alignment horizontal="center" vertical="center" wrapText="1"/>
    </xf>
    <xf numFmtId="164" fontId="5" fillId="14" borderId="118" xfId="0" applyNumberFormat="1" applyFont="1" applyFill="1" applyBorder="1" applyAlignment="1">
      <alignment horizontal="center" vertical="center"/>
    </xf>
    <xf numFmtId="0" fontId="5" fillId="14" borderId="118" xfId="0" applyFont="1" applyFill="1" applyBorder="1" applyAlignment="1">
      <alignment horizontal="left" vertical="center" wrapText="1"/>
    </xf>
    <xf numFmtId="0" fontId="16" fillId="14" borderId="68" xfId="0" applyFont="1" applyFill="1" applyBorder="1" applyAlignment="1" applyProtection="1">
      <alignment horizontal="left" vertical="center" wrapText="1"/>
      <protection locked="0"/>
    </xf>
    <xf numFmtId="0" fontId="5" fillId="14" borderId="63" xfId="0" applyFont="1" applyFill="1" applyBorder="1" applyAlignment="1">
      <alignment horizontal="center" vertical="center" wrapText="1"/>
    </xf>
    <xf numFmtId="164" fontId="5" fillId="14" borderId="68" xfId="0" applyNumberFormat="1" applyFont="1" applyFill="1" applyBorder="1" applyAlignment="1">
      <alignment horizontal="center" vertical="center"/>
    </xf>
    <xf numFmtId="0" fontId="5" fillId="14" borderId="63" xfId="0" applyFont="1" applyFill="1" applyBorder="1" applyAlignment="1">
      <alignment horizontal="left" vertical="center" wrapText="1"/>
    </xf>
    <xf numFmtId="0" fontId="16" fillId="14" borderId="63" xfId="0" applyFont="1" applyFill="1" applyBorder="1" applyAlignment="1" applyProtection="1">
      <alignment horizontal="left" vertical="center" wrapText="1"/>
      <protection locked="0"/>
    </xf>
    <xf numFmtId="0" fontId="5" fillId="14" borderId="216" xfId="0" applyFont="1" applyFill="1" applyBorder="1" applyAlignment="1">
      <alignment horizontal="center" vertical="center" wrapText="1"/>
    </xf>
    <xf numFmtId="164" fontId="5" fillId="14" borderId="216" xfId="0" applyNumberFormat="1" applyFont="1" applyFill="1" applyBorder="1" applyAlignment="1">
      <alignment horizontal="center" vertical="center"/>
    </xf>
    <xf numFmtId="0" fontId="5" fillId="14" borderId="216" xfId="0" applyFont="1" applyFill="1" applyBorder="1" applyAlignment="1">
      <alignment horizontal="left" vertical="center" wrapText="1"/>
    </xf>
    <xf numFmtId="0" fontId="16" fillId="14" borderId="217" xfId="0" applyFont="1" applyFill="1" applyBorder="1" applyAlignment="1" applyProtection="1">
      <alignment horizontal="left" vertical="center" wrapText="1"/>
      <protection locked="0"/>
    </xf>
    <xf numFmtId="0" fontId="2" fillId="12" borderId="51" xfId="0" applyFont="1" applyFill="1" applyBorder="1" applyAlignment="1">
      <alignment horizontal="left" vertical="center" wrapText="1"/>
    </xf>
    <xf numFmtId="0" fontId="16" fillId="0" borderId="194" xfId="0" applyFont="1" applyBorder="1" applyAlignment="1">
      <alignment horizontal="left" vertical="center" wrapText="1"/>
    </xf>
    <xf numFmtId="0" fontId="9" fillId="0" borderId="288" xfId="0" applyFont="1" applyBorder="1" applyAlignment="1" applyProtection="1">
      <alignment horizontal="center" wrapText="1"/>
      <protection locked="0"/>
    </xf>
    <xf numFmtId="0" fontId="10" fillId="0" borderId="289" xfId="0" applyFont="1" applyBorder="1" applyAlignment="1" applyProtection="1">
      <alignment horizontal="center" wrapText="1"/>
      <protection locked="0"/>
    </xf>
    <xf numFmtId="0" fontId="2" fillId="0" borderId="291" xfId="0" applyFont="1" applyBorder="1" applyAlignment="1" applyProtection="1">
      <alignment horizontal="left" vertical="center" wrapText="1"/>
      <protection locked="0"/>
    </xf>
    <xf numFmtId="1" fontId="16" fillId="0" borderId="293" xfId="0" applyNumberFormat="1" applyFont="1" applyBorder="1" applyAlignment="1" applyProtection="1">
      <alignment horizontal="left" vertical="center" wrapText="1"/>
      <protection locked="0"/>
    </xf>
    <xf numFmtId="0" fontId="5" fillId="0" borderId="273" xfId="0" applyFont="1" applyBorder="1" applyAlignment="1">
      <alignment horizontal="left" vertical="center"/>
    </xf>
    <xf numFmtId="0" fontId="5" fillId="0" borderId="275" xfId="0" applyFont="1" applyBorder="1" applyAlignment="1">
      <alignment horizontal="left" vertical="center"/>
    </xf>
    <xf numFmtId="49" fontId="5" fillId="0" borderId="305" xfId="0" quotePrefix="1" applyNumberFormat="1" applyFont="1" applyBorder="1" applyAlignment="1">
      <alignment horizontal="center" vertical="center"/>
    </xf>
    <xf numFmtId="0" fontId="5" fillId="0" borderId="306" xfId="0" applyFont="1" applyBorder="1" applyAlignment="1">
      <alignment horizontal="left" vertical="center"/>
    </xf>
    <xf numFmtId="0" fontId="5" fillId="0" borderId="242" xfId="0" applyFont="1" applyBorder="1" applyAlignment="1">
      <alignment horizontal="left" vertical="center"/>
    </xf>
    <xf numFmtId="0" fontId="5" fillId="0" borderId="242" xfId="0" applyFont="1" applyBorder="1" applyAlignment="1">
      <alignment vertical="center"/>
    </xf>
    <xf numFmtId="0" fontId="2" fillId="0" borderId="242" xfId="0" applyFont="1" applyBorder="1" applyAlignment="1">
      <alignment horizontal="left" vertical="center" wrapText="1"/>
    </xf>
    <xf numFmtId="0" fontId="2" fillId="0" borderId="242" xfId="0" applyFont="1" applyBorder="1" applyAlignment="1">
      <alignment horizontal="center" vertical="center" wrapText="1"/>
    </xf>
    <xf numFmtId="0" fontId="16" fillId="0" borderId="242" xfId="0" applyFont="1" applyBorder="1" applyAlignment="1">
      <alignment horizontal="center" vertical="center" wrapText="1"/>
    </xf>
    <xf numFmtId="0" fontId="5" fillId="0" borderId="242" xfId="0" applyFont="1" applyBorder="1" applyAlignment="1">
      <alignment horizontal="center" vertical="center" wrapText="1"/>
    </xf>
    <xf numFmtId="0" fontId="5" fillId="0" borderId="242" xfId="0" applyFont="1" applyBorder="1"/>
    <xf numFmtId="0" fontId="5" fillId="0" borderId="242" xfId="0" applyFont="1" applyBorder="1" applyAlignment="1">
      <alignment horizontal="left" vertical="top" wrapText="1"/>
    </xf>
    <xf numFmtId="0" fontId="16" fillId="0" borderId="272" xfId="0" applyFont="1" applyBorder="1" applyAlignment="1">
      <alignment horizontal="left" vertical="center" wrapText="1"/>
    </xf>
    <xf numFmtId="49" fontId="5" fillId="0" borderId="273" xfId="0" applyNumberFormat="1" applyFont="1" applyBorder="1" applyAlignment="1">
      <alignment horizontal="center" vertical="center"/>
    </xf>
    <xf numFmtId="49" fontId="5" fillId="0" borderId="292" xfId="0" applyNumberFormat="1" applyFont="1" applyBorder="1" applyAlignment="1">
      <alignment horizontal="center" vertical="center"/>
    </xf>
    <xf numFmtId="0" fontId="16" fillId="0" borderId="274" xfId="0" applyFont="1" applyBorder="1" applyAlignment="1">
      <alignment horizontal="left" vertical="center" wrapText="1"/>
    </xf>
    <xf numFmtId="49" fontId="5" fillId="0" borderId="273" xfId="0" applyNumberFormat="1" applyFont="1" applyBorder="1" applyAlignment="1">
      <alignment horizontal="center"/>
    </xf>
    <xf numFmtId="49" fontId="5" fillId="0" borderId="307" xfId="0" applyNumberFormat="1" applyFont="1" applyBorder="1" applyAlignment="1">
      <alignment horizontal="center" vertical="center"/>
    </xf>
    <xf numFmtId="0" fontId="4" fillId="0" borderId="271" xfId="0" applyFont="1" applyBorder="1"/>
    <xf numFmtId="0" fontId="4" fillId="0" borderId="242" xfId="0" applyFont="1" applyBorder="1"/>
    <xf numFmtId="0" fontId="7" fillId="0" borderId="242" xfId="0" applyFont="1" applyBorder="1" applyAlignment="1">
      <alignment horizontal="left" vertical="center"/>
    </xf>
    <xf numFmtId="0" fontId="7" fillId="0" borderId="242" xfId="0" applyFont="1" applyBorder="1" applyAlignment="1">
      <alignment horizontal="center" vertical="top"/>
    </xf>
    <xf numFmtId="0" fontId="24" fillId="0" borderId="242" xfId="0" applyFont="1" applyBorder="1" applyAlignment="1">
      <alignment horizontal="right" vertical="center" wrapText="1"/>
    </xf>
    <xf numFmtId="0" fontId="9" fillId="0" borderId="288" xfId="0" applyFont="1" applyBorder="1" applyAlignment="1">
      <alignment horizontal="center" vertical="center"/>
    </xf>
    <xf numFmtId="0" fontId="16" fillId="0" borderId="289" xfId="0" applyFont="1" applyBorder="1" applyAlignment="1">
      <alignment horizontal="left" vertical="center" wrapText="1"/>
    </xf>
    <xf numFmtId="0" fontId="4" fillId="0" borderId="273" xfId="0" applyFont="1" applyBorder="1" applyAlignment="1">
      <alignment vertical="center"/>
    </xf>
    <xf numFmtId="1" fontId="16" fillId="0" borderId="274" xfId="0" applyNumberFormat="1" applyFont="1" applyBorder="1" applyAlignment="1">
      <alignment horizontal="left" vertical="center" wrapText="1"/>
    </xf>
    <xf numFmtId="0" fontId="5" fillId="0" borderId="273" xfId="0" applyFont="1" applyBorder="1" applyAlignment="1">
      <alignment vertical="top"/>
    </xf>
    <xf numFmtId="0" fontId="5" fillId="0" borderId="275" xfId="0" applyFont="1" applyBorder="1" applyAlignment="1">
      <alignment vertical="top"/>
    </xf>
    <xf numFmtId="0" fontId="5" fillId="0" borderId="276" xfId="0" applyFont="1" applyBorder="1" applyAlignment="1">
      <alignment vertical="top"/>
    </xf>
    <xf numFmtId="0" fontId="16" fillId="0" borderId="276" xfId="0" applyFont="1" applyBorder="1" applyAlignment="1">
      <alignment horizontal="left" vertical="center"/>
    </xf>
    <xf numFmtId="0" fontId="16" fillId="0" borderId="276" xfId="0" applyFont="1" applyBorder="1" applyAlignment="1">
      <alignment horizontal="center" vertical="top"/>
    </xf>
    <xf numFmtId="0" fontId="24" fillId="0" borderId="276" xfId="0" applyFont="1" applyBorder="1" applyAlignment="1">
      <alignment horizontal="right" vertical="center"/>
    </xf>
    <xf numFmtId="0" fontId="8" fillId="0" borderId="317" xfId="0" applyFont="1" applyBorder="1" applyAlignment="1">
      <alignment horizontal="center" vertical="center"/>
    </xf>
    <xf numFmtId="1" fontId="13" fillId="0" borderId="317" xfId="0" applyNumberFormat="1" applyFont="1" applyBorder="1" applyAlignment="1">
      <alignment horizontal="center" vertical="center"/>
    </xf>
    <xf numFmtId="1" fontId="16" fillId="0" borderId="277" xfId="0" applyNumberFormat="1" applyFont="1" applyBorder="1" applyAlignment="1">
      <alignment horizontal="left" vertical="center" wrapText="1"/>
    </xf>
    <xf numFmtId="0" fontId="1" fillId="0" borderId="242" xfId="0" applyFont="1" applyBorder="1" applyAlignment="1">
      <alignment horizontal="left" vertical="center"/>
    </xf>
    <xf numFmtId="0" fontId="4" fillId="0" borderId="276" xfId="0" applyFont="1" applyBorder="1" applyAlignment="1">
      <alignment horizontal="left"/>
    </xf>
    <xf numFmtId="0" fontId="5" fillId="0" borderId="0" xfId="0" applyFont="1" applyAlignment="1">
      <alignment vertical="center"/>
    </xf>
    <xf numFmtId="0" fontId="57" fillId="0" borderId="179" xfId="1" applyFont="1" applyBorder="1" applyAlignment="1"/>
    <xf numFmtId="0" fontId="55" fillId="0" borderId="179" xfId="1" applyFont="1" applyBorder="1" applyAlignment="1"/>
    <xf numFmtId="0" fontId="12" fillId="0" borderId="242" xfId="0" applyFont="1" applyBorder="1" applyAlignment="1">
      <alignment horizontal="center" wrapText="1"/>
    </xf>
    <xf numFmtId="0" fontId="12" fillId="0" borderId="179" xfId="0" applyFont="1" applyBorder="1" applyAlignment="1">
      <alignment horizontal="center"/>
    </xf>
    <xf numFmtId="0" fontId="27" fillId="12" borderId="279" xfId="0" applyFont="1" applyFill="1" applyBorder="1" applyAlignment="1">
      <alignment horizontal="center"/>
    </xf>
    <xf numFmtId="0" fontId="27" fillId="12" borderId="280" xfId="0" applyFont="1" applyFill="1" applyBorder="1" applyAlignment="1">
      <alignment horizontal="center"/>
    </xf>
    <xf numFmtId="164" fontId="12" fillId="0" borderId="36" xfId="0" applyNumberFormat="1" applyFont="1" applyBorder="1" applyAlignment="1">
      <alignment horizontal="center"/>
    </xf>
    <xf numFmtId="164" fontId="12" fillId="4" borderId="90" xfId="0" applyNumberFormat="1" applyFont="1" applyFill="1" applyBorder="1" applyAlignment="1">
      <alignment horizontal="center" wrapText="1"/>
    </xf>
    <xf numFmtId="164" fontId="12" fillId="0" borderId="91" xfId="0" applyNumberFormat="1" applyFont="1" applyBorder="1" applyAlignment="1">
      <alignment horizontal="center"/>
    </xf>
    <xf numFmtId="164" fontId="12" fillId="4" borderId="156" xfId="0" applyNumberFormat="1" applyFont="1" applyFill="1" applyBorder="1" applyAlignment="1">
      <alignment horizontal="center" wrapText="1"/>
    </xf>
    <xf numFmtId="164" fontId="12" fillId="0" borderId="165" xfId="0" applyNumberFormat="1" applyFont="1" applyBorder="1" applyAlignment="1">
      <alignment horizontal="center"/>
    </xf>
    <xf numFmtId="164" fontId="12" fillId="4" borderId="104" xfId="0" applyNumberFormat="1" applyFont="1" applyFill="1" applyBorder="1" applyAlignment="1">
      <alignment horizontal="center" wrapText="1"/>
    </xf>
    <xf numFmtId="164" fontId="12" fillId="0" borderId="36" xfId="0" applyNumberFormat="1" applyFont="1" applyBorder="1" applyAlignment="1">
      <alignment horizontal="center" wrapText="1"/>
    </xf>
    <xf numFmtId="164" fontId="12" fillId="4" borderId="108" xfId="0" applyNumberFormat="1" applyFont="1" applyFill="1" applyBorder="1" applyAlignment="1">
      <alignment horizontal="center" wrapText="1"/>
    </xf>
    <xf numFmtId="164" fontId="12" fillId="5" borderId="81" xfId="0" applyNumberFormat="1" applyFont="1" applyFill="1" applyBorder="1" applyAlignment="1">
      <alignment horizontal="center"/>
    </xf>
    <xf numFmtId="164" fontId="12" fillId="0" borderId="91" xfId="0" applyNumberFormat="1" applyFont="1" applyBorder="1" applyAlignment="1">
      <alignment horizontal="center" wrapText="1"/>
    </xf>
    <xf numFmtId="164" fontId="12" fillId="4" borderId="124" xfId="0" applyNumberFormat="1" applyFont="1" applyFill="1" applyBorder="1" applyAlignment="1">
      <alignment horizontal="center" wrapText="1"/>
    </xf>
    <xf numFmtId="164" fontId="12" fillId="0" borderId="127" xfId="0" applyNumberFormat="1" applyFont="1" applyBorder="1" applyAlignment="1">
      <alignment horizontal="center" wrapText="1"/>
    </xf>
    <xf numFmtId="164" fontId="12" fillId="0" borderId="11" xfId="0" applyNumberFormat="1" applyFont="1" applyBorder="1" applyAlignment="1">
      <alignment horizontal="center" wrapText="1"/>
    </xf>
    <xf numFmtId="164" fontId="12" fillId="4" borderId="62" xfId="0" applyNumberFormat="1" applyFont="1" applyFill="1" applyBorder="1" applyAlignment="1">
      <alignment horizontal="center" wrapText="1"/>
    </xf>
    <xf numFmtId="164" fontId="12" fillId="0" borderId="23" xfId="0" applyNumberFormat="1" applyFont="1" applyBorder="1" applyAlignment="1">
      <alignment horizontal="center" wrapText="1"/>
    </xf>
    <xf numFmtId="1" fontId="12" fillId="4" borderId="147" xfId="0" applyNumberFormat="1" applyFont="1" applyFill="1" applyBorder="1" applyAlignment="1">
      <alignment horizontal="center"/>
    </xf>
    <xf numFmtId="164" fontId="12" fillId="4" borderId="82" xfId="0" applyNumberFormat="1" applyFont="1" applyFill="1" applyBorder="1" applyAlignment="1">
      <alignment horizontal="center" wrapText="1"/>
    </xf>
    <xf numFmtId="164" fontId="12" fillId="0" borderId="85" xfId="0" applyNumberFormat="1" applyFont="1" applyBorder="1" applyAlignment="1">
      <alignment horizontal="center" wrapText="1"/>
    </xf>
    <xf numFmtId="164" fontId="12" fillId="4" borderId="246" xfId="0" applyNumberFormat="1" applyFont="1" applyFill="1" applyBorder="1" applyAlignment="1">
      <alignment horizontal="center" wrapText="1"/>
    </xf>
    <xf numFmtId="164" fontId="12" fillId="0" borderId="129" xfId="0" applyNumberFormat="1" applyFont="1" applyBorder="1" applyAlignment="1">
      <alignment horizontal="center" wrapText="1"/>
    </xf>
    <xf numFmtId="164" fontId="53" fillId="4" borderId="60" xfId="0" applyNumberFormat="1" applyFont="1" applyFill="1" applyBorder="1" applyAlignment="1">
      <alignment horizontal="center" wrapText="1"/>
    </xf>
    <xf numFmtId="164" fontId="53" fillId="0" borderId="131" xfId="0" applyNumberFormat="1" applyFont="1" applyBorder="1" applyAlignment="1">
      <alignment horizontal="center"/>
    </xf>
    <xf numFmtId="164" fontId="12" fillId="0" borderId="127" xfId="0" applyNumberFormat="1" applyFont="1" applyBorder="1" applyAlignment="1">
      <alignment horizontal="center"/>
    </xf>
    <xf numFmtId="164" fontId="12" fillId="0" borderId="19" xfId="0" applyNumberFormat="1" applyFont="1" applyBorder="1" applyAlignment="1">
      <alignment horizontal="center" wrapText="1"/>
    </xf>
    <xf numFmtId="164" fontId="12" fillId="6" borderId="81" xfId="0" applyNumberFormat="1" applyFont="1" applyFill="1" applyBorder="1" applyAlignment="1">
      <alignment horizontal="center"/>
    </xf>
    <xf numFmtId="164" fontId="12" fillId="4" borderId="169" xfId="0" applyNumberFormat="1" applyFont="1" applyFill="1" applyBorder="1" applyAlignment="1">
      <alignment horizontal="center" wrapText="1"/>
    </xf>
    <xf numFmtId="164" fontId="12" fillId="0" borderId="172" xfId="0" applyNumberFormat="1" applyFont="1" applyBorder="1" applyAlignment="1">
      <alignment horizontal="center"/>
    </xf>
    <xf numFmtId="164" fontId="12" fillId="4" borderId="67" xfId="0" applyNumberFormat="1" applyFont="1" applyFill="1" applyBorder="1" applyAlignment="1">
      <alignment horizontal="center" wrapText="1"/>
    </xf>
    <xf numFmtId="164" fontId="12" fillId="14" borderId="192" xfId="0" applyNumberFormat="1" applyFont="1" applyFill="1" applyBorder="1" applyAlignment="1">
      <alignment horizontal="center" wrapText="1"/>
    </xf>
    <xf numFmtId="164" fontId="12" fillId="14" borderId="192" xfId="0" applyNumberFormat="1" applyFont="1" applyFill="1" applyBorder="1" applyAlignment="1">
      <alignment horizontal="center"/>
    </xf>
    <xf numFmtId="164" fontId="12" fillId="4" borderId="194" xfId="0" applyNumberFormat="1" applyFont="1" applyFill="1" applyBorder="1" applyAlignment="1">
      <alignment horizontal="center" wrapText="1"/>
    </xf>
    <xf numFmtId="164" fontId="12" fillId="14" borderId="118" xfId="0" applyNumberFormat="1" applyFont="1" applyFill="1" applyBorder="1" applyAlignment="1">
      <alignment horizontal="center" wrapText="1"/>
    </xf>
    <xf numFmtId="164" fontId="12" fillId="14" borderId="118" xfId="0" applyNumberFormat="1" applyFont="1" applyFill="1" applyBorder="1" applyAlignment="1">
      <alignment horizontal="center"/>
    </xf>
    <xf numFmtId="0" fontId="12" fillId="6" borderId="81" xfId="0" applyFont="1" applyFill="1" applyBorder="1" applyAlignment="1">
      <alignment horizontal="center"/>
    </xf>
    <xf numFmtId="164" fontId="12" fillId="14" borderId="64" xfId="0" applyNumberFormat="1" applyFont="1" applyFill="1" applyBorder="1" applyAlignment="1">
      <alignment horizontal="center" wrapText="1"/>
    </xf>
    <xf numFmtId="164" fontId="12" fillId="14" borderId="11" xfId="0" applyNumberFormat="1" applyFont="1" applyFill="1" applyBorder="1" applyAlignment="1">
      <alignment horizontal="center"/>
    </xf>
    <xf numFmtId="164" fontId="12" fillId="4" borderId="206" xfId="0" applyNumberFormat="1" applyFont="1" applyFill="1" applyBorder="1" applyAlignment="1">
      <alignment horizontal="center" wrapText="1"/>
    </xf>
    <xf numFmtId="164" fontId="12" fillId="0" borderId="23" xfId="0" applyNumberFormat="1" applyFont="1" applyBorder="1" applyAlignment="1">
      <alignment horizontal="center"/>
    </xf>
    <xf numFmtId="164" fontId="12" fillId="4" borderId="160" xfId="0" applyNumberFormat="1" applyFont="1" applyFill="1" applyBorder="1" applyAlignment="1">
      <alignment horizontal="center" wrapText="1"/>
    </xf>
    <xf numFmtId="164" fontId="12" fillId="0" borderId="163" xfId="0" applyNumberFormat="1" applyFont="1" applyBorder="1" applyAlignment="1">
      <alignment horizontal="center"/>
    </xf>
    <xf numFmtId="164" fontId="12" fillId="0" borderId="165" xfId="0" applyNumberFormat="1" applyFont="1" applyBorder="1" applyAlignment="1">
      <alignment horizontal="center" wrapText="1"/>
    </xf>
    <xf numFmtId="164" fontId="12" fillId="4" borderId="210" xfId="0" applyNumberFormat="1" applyFont="1" applyFill="1" applyBorder="1" applyAlignment="1">
      <alignment horizontal="center" wrapText="1"/>
    </xf>
    <xf numFmtId="164" fontId="12" fillId="0" borderId="13" xfId="0" applyNumberFormat="1" applyFont="1" applyBorder="1" applyAlignment="1">
      <alignment horizontal="center"/>
    </xf>
    <xf numFmtId="164" fontId="12" fillId="4" borderId="16" xfId="0" applyNumberFormat="1" applyFont="1" applyFill="1" applyBorder="1" applyAlignment="1">
      <alignment horizontal="center" wrapText="1"/>
    </xf>
    <xf numFmtId="164" fontId="12" fillId="5" borderId="181" xfId="0" applyNumberFormat="1" applyFont="1" applyFill="1" applyBorder="1" applyAlignment="1">
      <alignment horizontal="center"/>
    </xf>
    <xf numFmtId="164" fontId="12" fillId="4" borderId="53" xfId="0" applyNumberFormat="1" applyFont="1" applyFill="1" applyBorder="1" applyAlignment="1">
      <alignment horizontal="center" wrapText="1"/>
    </xf>
    <xf numFmtId="164" fontId="12" fillId="0" borderId="214" xfId="0" applyNumberFormat="1" applyFont="1" applyBorder="1" applyAlignment="1">
      <alignment horizontal="center"/>
    </xf>
    <xf numFmtId="164" fontId="12" fillId="4" borderId="186" xfId="0" applyNumberFormat="1" applyFont="1" applyFill="1" applyBorder="1" applyAlignment="1">
      <alignment horizontal="center" wrapText="1"/>
    </xf>
    <xf numFmtId="164" fontId="12" fillId="0" borderId="204" xfId="0" applyNumberFormat="1" applyFont="1" applyBorder="1" applyAlignment="1">
      <alignment horizontal="center" wrapText="1"/>
    </xf>
    <xf numFmtId="164" fontId="12" fillId="14" borderId="216" xfId="0" applyNumberFormat="1" applyFont="1" applyFill="1" applyBorder="1" applyAlignment="1">
      <alignment horizontal="center" wrapText="1"/>
    </xf>
    <xf numFmtId="164" fontId="12" fillId="14" borderId="216" xfId="0" applyNumberFormat="1" applyFont="1" applyFill="1" applyBorder="1" applyAlignment="1">
      <alignment horizontal="center"/>
    </xf>
    <xf numFmtId="164" fontId="12" fillId="4" borderId="113" xfId="0" applyNumberFormat="1" applyFont="1" applyFill="1" applyBorder="1" applyAlignment="1">
      <alignment horizontal="center" wrapText="1"/>
    </xf>
    <xf numFmtId="1" fontId="12" fillId="4" borderId="156" xfId="0" applyNumberFormat="1" applyFont="1" applyFill="1" applyBorder="1" applyAlignment="1">
      <alignment horizontal="center" wrapText="1"/>
    </xf>
    <xf numFmtId="1" fontId="12" fillId="0" borderId="165" xfId="0" applyNumberFormat="1" applyFont="1" applyBorder="1" applyAlignment="1">
      <alignment horizontal="center"/>
    </xf>
    <xf numFmtId="1" fontId="12" fillId="4" borderId="124" xfId="0" applyNumberFormat="1" applyFont="1" applyFill="1" applyBorder="1" applyAlignment="1">
      <alignment horizontal="center" wrapText="1"/>
    </xf>
    <xf numFmtId="1" fontId="12" fillId="0" borderId="127" xfId="0" applyNumberFormat="1" applyFont="1" applyBorder="1" applyAlignment="1">
      <alignment horizontal="center"/>
    </xf>
    <xf numFmtId="164" fontId="12" fillId="0" borderId="172" xfId="0" applyNumberFormat="1" applyFont="1" applyBorder="1" applyAlignment="1">
      <alignment horizontal="center" wrapText="1"/>
    </xf>
    <xf numFmtId="164" fontId="12" fillId="0" borderId="139" xfId="0" applyNumberFormat="1" applyFont="1" applyBorder="1" applyAlignment="1">
      <alignment horizontal="center" wrapText="1"/>
    </xf>
    <xf numFmtId="1" fontId="12" fillId="0" borderId="19" xfId="0" applyNumberFormat="1" applyFont="1" applyBorder="1" applyAlignment="1">
      <alignment horizontal="center"/>
    </xf>
    <xf numFmtId="0" fontId="12" fillId="5" borderId="81" xfId="0" applyFont="1" applyFill="1" applyBorder="1" applyAlignment="1">
      <alignment horizontal="center" wrapText="1"/>
    </xf>
    <xf numFmtId="164" fontId="12" fillId="5" borderId="81" xfId="0" applyNumberFormat="1" applyFont="1" applyFill="1" applyBorder="1" applyAlignment="1">
      <alignment horizontal="center" wrapText="1"/>
    </xf>
    <xf numFmtId="164" fontId="5" fillId="4" borderId="20" xfId="0" applyNumberFormat="1" applyFont="1" applyFill="1" applyBorder="1" applyAlignment="1">
      <alignment horizontal="center"/>
    </xf>
    <xf numFmtId="164" fontId="12" fillId="0" borderId="29" xfId="0" applyNumberFormat="1" applyFont="1" applyBorder="1" applyAlignment="1">
      <alignment horizontal="center"/>
    </xf>
    <xf numFmtId="164" fontId="5" fillId="4" borderId="60" xfId="0" applyNumberFormat="1" applyFont="1" applyFill="1" applyBorder="1" applyAlignment="1">
      <alignment horizontal="center" wrapText="1"/>
    </xf>
    <xf numFmtId="1" fontId="12" fillId="4" borderId="249" xfId="0" applyNumberFormat="1" applyFont="1" applyFill="1" applyBorder="1" applyAlignment="1">
      <alignment horizontal="center" wrapText="1"/>
    </xf>
    <xf numFmtId="1" fontId="12" fillId="7" borderId="165" xfId="0" applyNumberFormat="1" applyFont="1" applyFill="1" applyBorder="1" applyAlignment="1">
      <alignment horizontal="center" wrapText="1"/>
    </xf>
    <xf numFmtId="1" fontId="12" fillId="0" borderId="165" xfId="0" applyNumberFormat="1" applyFont="1" applyBorder="1" applyAlignment="1">
      <alignment horizontal="center" wrapText="1"/>
    </xf>
    <xf numFmtId="164" fontId="12" fillId="4" borderId="249" xfId="0" applyNumberFormat="1" applyFont="1" applyFill="1" applyBorder="1" applyAlignment="1">
      <alignment horizontal="center" wrapText="1"/>
    </xf>
    <xf numFmtId="0" fontId="0" fillId="0" borderId="0" xfId="0" applyFont="1" applyAlignment="1">
      <alignment horizontal="center"/>
    </xf>
    <xf numFmtId="0" fontId="0" fillId="0" borderId="179" xfId="0" applyBorder="1"/>
    <xf numFmtId="0" fontId="17" fillId="0" borderId="0" xfId="1" applyFont="1" applyAlignment="1">
      <alignment horizontal="left" vertical="top"/>
    </xf>
    <xf numFmtId="0" fontId="14" fillId="0" borderId="0" xfId="0" applyFont="1" applyAlignment="1">
      <alignment horizontal="left" vertical="top" wrapText="1"/>
    </xf>
    <xf numFmtId="0" fontId="5" fillId="0" borderId="0" xfId="0" applyFont="1" applyAlignment="1">
      <alignment horizontal="left" vertical="top" wrapText="1"/>
    </xf>
    <xf numFmtId="0" fontId="16" fillId="0" borderId="59" xfId="0" applyFont="1" applyBorder="1" applyAlignment="1" applyProtection="1">
      <alignment horizontal="left" vertical="center" wrapText="1"/>
      <protection locked="0"/>
    </xf>
    <xf numFmtId="0" fontId="16" fillId="0" borderId="66" xfId="0" applyFont="1" applyBorder="1" applyAlignment="1" applyProtection="1">
      <alignment horizontal="left" vertical="center" wrapText="1"/>
      <protection locked="0"/>
    </xf>
    <xf numFmtId="0" fontId="16" fillId="13" borderId="63" xfId="0" applyFont="1" applyFill="1" applyBorder="1" applyAlignment="1" applyProtection="1">
      <alignment horizontal="left" vertical="center" wrapText="1"/>
      <protection locked="0"/>
    </xf>
    <xf numFmtId="0" fontId="16" fillId="0" borderId="61" xfId="0" applyFont="1" applyBorder="1" applyAlignment="1" applyProtection="1">
      <alignment horizontal="left" vertical="center" wrapText="1"/>
      <protection locked="0"/>
    </xf>
    <xf numFmtId="0" fontId="16" fillId="0" borderId="89" xfId="0" applyFont="1" applyBorder="1" applyAlignment="1" applyProtection="1">
      <alignment wrapText="1"/>
      <protection locked="0"/>
    </xf>
    <xf numFmtId="0" fontId="6" fillId="0" borderId="0" xfId="0" applyFont="1" applyAlignment="1"/>
    <xf numFmtId="0" fontId="14" fillId="0" borderId="0" xfId="0" applyFont="1" applyAlignment="1"/>
    <xf numFmtId="0" fontId="4" fillId="0" borderId="0" xfId="0" applyFont="1" applyAlignment="1"/>
    <xf numFmtId="0" fontId="16" fillId="0" borderId="10" xfId="0" applyFont="1" applyBorder="1" applyAlignment="1" applyProtection="1">
      <alignment horizontal="left" vertical="center" wrapText="1"/>
      <protection locked="0"/>
    </xf>
    <xf numFmtId="0" fontId="5" fillId="0" borderId="0" xfId="0" applyFont="1"/>
    <xf numFmtId="0" fontId="16" fillId="0" borderId="63"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0" fontId="16" fillId="0" borderId="10" xfId="0" applyFont="1" applyBorder="1" applyAlignment="1" applyProtection="1">
      <alignment vertical="center" wrapText="1"/>
      <protection locked="0"/>
    </xf>
    <xf numFmtId="0" fontId="16" fillId="0" borderId="89" xfId="0" applyFont="1" applyBorder="1" applyAlignment="1" applyProtection="1">
      <alignment vertical="center" wrapText="1"/>
      <protection locked="0"/>
    </xf>
    <xf numFmtId="0" fontId="16" fillId="0" borderId="167" xfId="0" applyFont="1" applyBorder="1" applyAlignment="1" applyProtection="1">
      <alignment vertical="center" wrapText="1"/>
      <protection locked="0"/>
    </xf>
    <xf numFmtId="0" fontId="16" fillId="0" borderId="139" xfId="0" applyFont="1" applyBorder="1" applyAlignment="1" applyProtection="1">
      <alignment horizontal="left" vertical="center" wrapText="1"/>
      <protection locked="0"/>
    </xf>
    <xf numFmtId="0" fontId="16" fillId="7" borderId="88" xfId="0" applyFont="1" applyFill="1" applyBorder="1" applyAlignment="1" applyProtection="1">
      <alignment horizontal="left" vertical="center" wrapText="1"/>
      <protection locked="0"/>
    </xf>
    <xf numFmtId="0" fontId="16" fillId="0" borderId="88" xfId="0" applyFont="1" applyBorder="1" applyAlignment="1" applyProtection="1">
      <alignment horizontal="left" vertical="center" wrapText="1"/>
      <protection locked="0"/>
    </xf>
    <xf numFmtId="0" fontId="16" fillId="3" borderId="89" xfId="0" applyFont="1" applyFill="1" applyBorder="1" applyAlignment="1" applyProtection="1">
      <alignment vertical="center" wrapText="1"/>
      <protection locked="0"/>
    </xf>
    <xf numFmtId="0" fontId="16" fillId="3" borderId="136" xfId="0" applyFont="1" applyFill="1" applyBorder="1" applyAlignment="1" applyProtection="1">
      <alignment horizontal="left" vertical="center" wrapText="1"/>
      <protection locked="0"/>
    </xf>
    <xf numFmtId="0" fontId="16" fillId="3" borderId="10" xfId="0" applyFont="1" applyFill="1" applyBorder="1" applyAlignment="1" applyProtection="1">
      <alignment horizontal="left" vertical="center" wrapText="1"/>
      <protection locked="0"/>
    </xf>
    <xf numFmtId="0" fontId="16" fillId="3" borderId="89" xfId="0" applyFont="1" applyFill="1" applyBorder="1" applyAlignment="1" applyProtection="1">
      <alignment horizontal="left" vertical="center" wrapText="1"/>
      <protection locked="0"/>
    </xf>
    <xf numFmtId="0" fontId="5" fillId="0" borderId="0" xfId="0" applyFont="1" applyAlignment="1">
      <alignment vertical="center"/>
    </xf>
    <xf numFmtId="0" fontId="4" fillId="0" borderId="0" xfId="0" applyFont="1" applyAlignment="1"/>
    <xf numFmtId="0" fontId="5" fillId="0" borderId="0" xfId="0" applyFont="1"/>
    <xf numFmtId="0" fontId="14" fillId="0" borderId="0" xfId="0" applyFont="1" applyAlignment="1">
      <alignment vertical="center"/>
    </xf>
    <xf numFmtId="0" fontId="5" fillId="0" borderId="65" xfId="0" applyFont="1" applyBorder="1" applyAlignment="1">
      <alignment horizontal="left" vertical="center" wrapText="1"/>
    </xf>
    <xf numFmtId="0" fontId="5" fillId="4" borderId="83" xfId="0" applyFont="1" applyFill="1" applyBorder="1" applyAlignment="1" applyProtection="1">
      <alignment horizontal="center" vertical="center"/>
      <protection locked="0"/>
    </xf>
    <xf numFmtId="0" fontId="5" fillId="3" borderId="85" xfId="0" applyFont="1" applyFill="1" applyBorder="1" applyAlignment="1" applyProtection="1">
      <alignment horizontal="center" vertical="center"/>
      <protection locked="0"/>
    </xf>
    <xf numFmtId="0" fontId="5" fillId="4" borderId="82" xfId="0" applyFont="1" applyFill="1" applyBorder="1" applyAlignment="1" applyProtection="1">
      <alignment horizontal="center" vertical="center"/>
      <protection locked="0"/>
    </xf>
    <xf numFmtId="0" fontId="14" fillId="0" borderId="0" xfId="0" applyFont="1" applyAlignment="1"/>
    <xf numFmtId="0" fontId="4" fillId="0" borderId="0" xfId="0" applyFont="1" applyAlignment="1"/>
    <xf numFmtId="0" fontId="7" fillId="0" borderId="238" xfId="0" applyFont="1" applyBorder="1"/>
    <xf numFmtId="0" fontId="5" fillId="0" borderId="0" xfId="0" applyFont="1" applyAlignment="1">
      <alignment vertical="center"/>
    </xf>
    <xf numFmtId="0" fontId="14" fillId="0" borderId="0" xfId="0" applyFont="1" applyAlignment="1">
      <alignment vertical="center"/>
    </xf>
    <xf numFmtId="0" fontId="5" fillId="0" borderId="59" xfId="0" applyFont="1" applyBorder="1" applyAlignment="1">
      <alignment horizontal="center" vertical="center" wrapText="1"/>
    </xf>
    <xf numFmtId="0" fontId="5" fillId="0" borderId="238" xfId="0" applyFont="1" applyBorder="1" applyAlignment="1">
      <alignment horizontal="left" vertical="center" wrapText="1"/>
    </xf>
    <xf numFmtId="0" fontId="5" fillId="0" borderId="65" xfId="0" applyFont="1" applyBorder="1" applyAlignment="1">
      <alignment horizontal="left" vertical="center" wrapText="1"/>
    </xf>
    <xf numFmtId="0" fontId="14" fillId="0" borderId="0" xfId="0" applyFont="1"/>
    <xf numFmtId="49" fontId="5" fillId="0" borderId="103" xfId="0" applyNumberFormat="1" applyFont="1" applyBorder="1" applyAlignment="1" applyProtection="1">
      <alignment horizontal="center" vertical="center" wrapText="1"/>
      <protection locked="0"/>
    </xf>
    <xf numFmtId="0" fontId="5" fillId="0" borderId="0" xfId="0" applyFont="1"/>
    <xf numFmtId="0" fontId="5" fillId="0" borderId="238" xfId="0" applyFont="1" applyBorder="1" applyAlignment="1">
      <alignment horizontal="center" vertical="center" wrapText="1"/>
    </xf>
    <xf numFmtId="0" fontId="5" fillId="0" borderId="65" xfId="0" applyFont="1" applyBorder="1" applyAlignment="1">
      <alignment horizontal="center" vertical="center" wrapText="1"/>
    </xf>
    <xf numFmtId="164" fontId="5" fillId="0" borderId="151" xfId="0" applyNumberFormat="1" applyFont="1" applyBorder="1" applyAlignment="1">
      <alignment horizontal="center" vertical="center"/>
    </xf>
    <xf numFmtId="164" fontId="12" fillId="0" borderId="200" xfId="0" applyNumberFormat="1" applyFont="1" applyBorder="1" applyAlignment="1">
      <alignment horizontal="center" wrapText="1"/>
    </xf>
    <xf numFmtId="164" fontId="12" fillId="0" borderId="68" xfId="0" applyNumberFormat="1" applyFont="1" applyBorder="1" applyAlignment="1">
      <alignment horizontal="center" vertical="center"/>
    </xf>
    <xf numFmtId="164" fontId="12" fillId="0" borderId="154" xfId="0" applyNumberFormat="1" applyFont="1" applyBorder="1" applyAlignment="1">
      <alignment horizontal="center"/>
    </xf>
    <xf numFmtId="0" fontId="44" fillId="0" borderId="151" xfId="0" applyFont="1" applyBorder="1"/>
    <xf numFmtId="0" fontId="27" fillId="12" borderId="151" xfId="0" applyFont="1" applyFill="1" applyBorder="1" applyAlignment="1">
      <alignment horizontal="center" vertical="center"/>
    </xf>
    <xf numFmtId="0" fontId="7" fillId="11" borderId="238" xfId="0" applyFont="1" applyFill="1" applyBorder="1"/>
    <xf numFmtId="0" fontId="3" fillId="11" borderId="238" xfId="0" applyFont="1" applyFill="1" applyBorder="1"/>
    <xf numFmtId="0" fontId="3" fillId="0" borderId="179" xfId="0" applyFont="1" applyBorder="1"/>
    <xf numFmtId="0" fontId="7" fillId="0" borderId="193" xfId="0" applyFont="1" applyBorder="1"/>
    <xf numFmtId="0" fontId="16" fillId="0" borderId="193" xfId="0" applyFont="1" applyBorder="1" applyAlignment="1" applyProtection="1">
      <alignment horizontal="left" vertical="center" wrapText="1"/>
      <protection locked="0"/>
    </xf>
    <xf numFmtId="164" fontId="12" fillId="0" borderId="151" xfId="0" applyNumberFormat="1" applyFont="1" applyBorder="1" applyAlignment="1">
      <alignment horizontal="center" vertical="center"/>
    </xf>
    <xf numFmtId="164" fontId="12" fillId="0" borderId="179" xfId="0" applyNumberFormat="1" applyFont="1" applyBorder="1" applyAlignment="1">
      <alignment horizontal="center" vertical="center"/>
    </xf>
    <xf numFmtId="164" fontId="12" fillId="0" borderId="200" xfId="0" applyNumberFormat="1" applyFont="1" applyBorder="1" applyAlignment="1">
      <alignment horizontal="center"/>
    </xf>
    <xf numFmtId="49" fontId="5" fillId="0" borderId="167" xfId="0" applyNumberFormat="1" applyFont="1" applyBorder="1" applyAlignment="1" applyProtection="1">
      <alignment horizontal="center" vertical="center" wrapText="1"/>
      <protection locked="0"/>
    </xf>
    <xf numFmtId="1" fontId="12" fillId="4" borderId="119" xfId="0" applyNumberFormat="1" applyFont="1" applyFill="1" applyBorder="1" applyAlignment="1">
      <alignment horizontal="center" wrapText="1"/>
    </xf>
    <xf numFmtId="1" fontId="12" fillId="0" borderId="122" xfId="0" applyNumberFormat="1" applyFont="1" applyBorder="1" applyAlignment="1">
      <alignment horizontal="center" wrapText="1"/>
    </xf>
    <xf numFmtId="49" fontId="5" fillId="0" borderId="89" xfId="0" applyNumberFormat="1" applyFont="1" applyBorder="1" applyAlignment="1" applyProtection="1">
      <alignment horizontal="center" vertical="center" wrapText="1"/>
      <protection locked="0"/>
    </xf>
    <xf numFmtId="1" fontId="12" fillId="4" borderId="90" xfId="0" applyNumberFormat="1" applyFont="1" applyFill="1" applyBorder="1" applyAlignment="1">
      <alignment horizontal="center" wrapText="1"/>
    </xf>
    <xf numFmtId="1" fontId="12" fillId="0" borderId="91" xfId="0" applyNumberFormat="1" applyFont="1" applyBorder="1" applyAlignment="1">
      <alignment horizontal="center" wrapText="1"/>
    </xf>
    <xf numFmtId="164" fontId="12" fillId="0" borderId="85" xfId="0" applyNumberFormat="1" applyFont="1" applyBorder="1" applyAlignment="1">
      <alignment horizontal="center"/>
    </xf>
    <xf numFmtId="0" fontId="16" fillId="0" borderId="65" xfId="0" applyFont="1" applyBorder="1" applyAlignment="1" applyProtection="1">
      <alignment horizontal="left" vertical="center" wrapText="1"/>
      <protection locked="0"/>
    </xf>
    <xf numFmtId="164" fontId="5" fillId="0" borderId="68" xfId="0" applyNumberFormat="1" applyFont="1" applyBorder="1" applyAlignment="1">
      <alignment horizontal="center" vertical="center"/>
    </xf>
    <xf numFmtId="0" fontId="59" fillId="0" borderId="206" xfId="0" applyFont="1" applyBorder="1" applyAlignment="1">
      <alignment vertical="center"/>
    </xf>
    <xf numFmtId="0" fontId="19" fillId="16" borderId="42" xfId="0" applyFont="1" applyFill="1" applyBorder="1" applyAlignment="1">
      <alignment horizontal="center" vertical="center"/>
    </xf>
    <xf numFmtId="0" fontId="19" fillId="16" borderId="179" xfId="0" applyFont="1" applyFill="1" applyBorder="1" applyAlignment="1">
      <alignment horizontal="center" vertical="center"/>
    </xf>
    <xf numFmtId="0" fontId="19" fillId="17" borderId="179" xfId="0" applyFont="1" applyFill="1" applyBorder="1" applyAlignment="1">
      <alignment horizontal="center" vertical="center"/>
    </xf>
    <xf numFmtId="0" fontId="7" fillId="18" borderId="42" xfId="0" applyFont="1" applyFill="1" applyBorder="1"/>
    <xf numFmtId="0" fontId="27" fillId="19" borderId="210" xfId="0" applyFont="1" applyFill="1" applyBorder="1" applyAlignment="1">
      <alignment horizontal="center"/>
    </xf>
    <xf numFmtId="0" fontId="27" fillId="19" borderId="199" xfId="0" applyFont="1" applyFill="1" applyBorder="1" applyAlignment="1">
      <alignment horizontal="center"/>
    </xf>
    <xf numFmtId="0" fontId="27" fillId="19" borderId="151" xfId="0" applyFont="1" applyFill="1" applyBorder="1" applyAlignment="1">
      <alignment horizontal="center" vertical="center"/>
    </xf>
    <xf numFmtId="0" fontId="7" fillId="18" borderId="238" xfId="0" applyFont="1" applyFill="1" applyBorder="1"/>
    <xf numFmtId="0" fontId="3" fillId="18" borderId="238" xfId="0" applyFont="1" applyFill="1" applyBorder="1"/>
    <xf numFmtId="0" fontId="5" fillId="0" borderId="179" xfId="0" applyFont="1" applyBorder="1" applyAlignment="1">
      <alignment horizontal="left" vertical="center"/>
    </xf>
    <xf numFmtId="0" fontId="25" fillId="0" borderId="194" xfId="0" applyFont="1" applyBorder="1" applyAlignment="1">
      <alignment horizontal="right" vertical="center"/>
    </xf>
    <xf numFmtId="164" fontId="5" fillId="0" borderId="222" xfId="0" applyNumberFormat="1" applyFont="1" applyBorder="1" applyAlignment="1">
      <alignment horizontal="center" vertical="center"/>
    </xf>
    <xf numFmtId="0" fontId="16" fillId="7" borderId="66" xfId="0" applyFont="1" applyFill="1" applyBorder="1" applyAlignment="1" applyProtection="1">
      <alignment horizontal="left" vertical="center" wrapText="1"/>
      <protection locked="0"/>
    </xf>
    <xf numFmtId="0" fontId="5" fillId="0" borderId="167" xfId="0" applyFont="1" applyBorder="1" applyAlignment="1">
      <alignment horizontal="left" vertical="center" wrapText="1"/>
    </xf>
    <xf numFmtId="0" fontId="7" fillId="0" borderId="182" xfId="0" applyFont="1" applyBorder="1" applyAlignment="1">
      <alignment horizontal="left"/>
    </xf>
    <xf numFmtId="0" fontId="16" fillId="0" borderId="114" xfId="0" applyFont="1" applyBorder="1" applyAlignment="1" applyProtection="1">
      <alignment horizontal="left" vertical="center" wrapText="1"/>
      <protection locked="0"/>
    </xf>
    <xf numFmtId="0" fontId="16" fillId="0" borderId="63" xfId="0" applyFont="1" applyFill="1" applyBorder="1" applyAlignment="1" applyProtection="1">
      <alignment horizontal="left" vertical="center" wrapText="1"/>
      <protection locked="0"/>
    </xf>
    <xf numFmtId="0" fontId="21" fillId="0" borderId="160" xfId="0" applyFont="1" applyFill="1" applyBorder="1" applyAlignment="1">
      <alignment horizontal="left" vertical="top"/>
    </xf>
    <xf numFmtId="0" fontId="16" fillId="0" borderId="65" xfId="0" applyFont="1" applyFill="1" applyBorder="1" applyAlignment="1" applyProtection="1">
      <alignment horizontal="left" vertical="center" wrapText="1"/>
      <protection locked="0"/>
    </xf>
    <xf numFmtId="0" fontId="16" fillId="0" borderId="238" xfId="0" applyFont="1" applyFill="1" applyBorder="1" applyAlignment="1" applyProtection="1">
      <alignment horizontal="left" vertical="center" wrapText="1"/>
      <protection locked="0"/>
    </xf>
    <xf numFmtId="0" fontId="16" fillId="0" borderId="20" xfId="0" applyFont="1" applyBorder="1" applyAlignment="1">
      <alignment horizontal="left"/>
    </xf>
    <xf numFmtId="0" fontId="5" fillId="0" borderId="162" xfId="0" applyFont="1" applyBorder="1" applyAlignment="1"/>
    <xf numFmtId="0" fontId="5" fillId="0" borderId="131" xfId="0" applyFont="1" applyBorder="1" applyAlignment="1"/>
    <xf numFmtId="0" fontId="16" fillId="0" borderId="160" xfId="0" applyFont="1" applyBorder="1" applyAlignment="1">
      <alignment horizontal="left" vertical="center"/>
    </xf>
    <xf numFmtId="164" fontId="16" fillId="0" borderId="11" xfId="0" applyNumberFormat="1" applyFont="1" applyFill="1" applyBorder="1" applyAlignment="1" applyProtection="1">
      <alignment horizontal="left" vertical="center" wrapText="1"/>
      <protection locked="0"/>
    </xf>
    <xf numFmtId="0" fontId="5" fillId="0" borderId="0" xfId="0" applyFont="1" applyAlignment="1">
      <alignment vertical="center"/>
    </xf>
    <xf numFmtId="0" fontId="4" fillId="0" borderId="0" xfId="0" applyFont="1" applyAlignment="1"/>
    <xf numFmtId="0" fontId="5" fillId="0" borderId="0" xfId="0" applyFont="1"/>
    <xf numFmtId="0" fontId="14" fillId="0" borderId="0" xfId="0" applyFont="1" applyAlignment="1">
      <alignment vertical="center"/>
    </xf>
    <xf numFmtId="164" fontId="5" fillId="0" borderId="59" xfId="0" applyNumberFormat="1" applyFont="1" applyBorder="1" applyAlignment="1">
      <alignment horizontal="center" vertical="center"/>
    </xf>
    <xf numFmtId="0" fontId="16" fillId="0" borderId="59" xfId="0" applyFont="1" applyBorder="1" applyAlignment="1" applyProtection="1">
      <alignment horizontal="left" vertical="center" wrapText="1"/>
      <protection locked="0"/>
    </xf>
    <xf numFmtId="0" fontId="7" fillId="0" borderId="61" xfId="0" applyFont="1" applyBorder="1"/>
    <xf numFmtId="0" fontId="5" fillId="0" borderId="65" xfId="0" applyFont="1" applyBorder="1" applyAlignment="1">
      <alignment horizontal="left" vertical="center" wrapText="1"/>
    </xf>
    <xf numFmtId="0" fontId="14" fillId="0" borderId="0" xfId="0" applyFont="1" applyAlignment="1"/>
    <xf numFmtId="0" fontId="7" fillId="0" borderId="22" xfId="0" applyFont="1" applyBorder="1" applyProtection="1">
      <protection locked="0"/>
    </xf>
    <xf numFmtId="0" fontId="7" fillId="0" borderId="23" xfId="0" applyFont="1" applyBorder="1" applyProtection="1">
      <protection locked="0"/>
    </xf>
    <xf numFmtId="49" fontId="5" fillId="0" borderId="74" xfId="0" applyNumberFormat="1" applyFont="1" applyBorder="1" applyAlignment="1" applyProtection="1">
      <alignment horizontal="center" vertical="center"/>
      <protection locked="0"/>
    </xf>
    <xf numFmtId="1" fontId="12" fillId="4" borderId="182" xfId="0" applyNumberFormat="1" applyFont="1" applyFill="1" applyBorder="1" applyAlignment="1">
      <alignment horizontal="center" wrapText="1"/>
    </xf>
    <xf numFmtId="1" fontId="12" fillId="0" borderId="184" xfId="0" applyNumberFormat="1" applyFont="1" applyBorder="1" applyAlignment="1">
      <alignment horizontal="center"/>
    </xf>
    <xf numFmtId="0" fontId="7" fillId="0" borderId="96" xfId="0" applyFont="1" applyBorder="1" applyProtection="1">
      <protection locked="0"/>
    </xf>
    <xf numFmtId="0" fontId="7" fillId="0" borderId="98" xfId="0" applyFont="1" applyBorder="1" applyProtection="1">
      <protection locked="0"/>
    </xf>
    <xf numFmtId="0" fontId="7" fillId="0" borderId="98" xfId="0" applyFont="1" applyBorder="1" applyAlignment="1">
      <alignment horizontal="center"/>
    </xf>
    <xf numFmtId="0" fontId="28" fillId="0" borderId="59" xfId="0" applyFont="1" applyBorder="1" applyAlignment="1">
      <alignment horizontal="left" vertical="center" wrapText="1"/>
    </xf>
    <xf numFmtId="0" fontId="16" fillId="0" borderId="59" xfId="0" applyFont="1" applyFill="1" applyBorder="1" applyAlignment="1" applyProtection="1">
      <alignment horizontal="left" vertical="center" wrapText="1"/>
      <protection locked="0"/>
    </xf>
    <xf numFmtId="0" fontId="5" fillId="3" borderId="85" xfId="0" applyFont="1" applyFill="1" applyBorder="1" applyAlignment="1" applyProtection="1">
      <alignment horizontal="center" vertical="center"/>
      <protection locked="0"/>
    </xf>
    <xf numFmtId="0" fontId="5" fillId="4" borderId="82" xfId="0" applyFont="1" applyFill="1" applyBorder="1" applyAlignment="1" applyProtection="1">
      <alignment horizontal="center" vertical="center"/>
      <protection locked="0"/>
    </xf>
    <xf numFmtId="0" fontId="5" fillId="4" borderId="83" xfId="0" applyFont="1" applyFill="1" applyBorder="1" applyAlignment="1" applyProtection="1">
      <alignment horizontal="center" vertical="center"/>
      <protection locked="0"/>
    </xf>
    <xf numFmtId="0" fontId="7" fillId="0" borderId="238" xfId="0" applyFont="1" applyFill="1" applyBorder="1" applyProtection="1">
      <protection locked="0"/>
    </xf>
    <xf numFmtId="0" fontId="5" fillId="4" borderId="108" xfId="0" applyFont="1" applyFill="1" applyBorder="1" applyAlignment="1" applyProtection="1">
      <alignment horizontal="center" vertical="center"/>
      <protection locked="0"/>
    </xf>
    <xf numFmtId="0" fontId="5" fillId="4" borderId="30" xfId="0" applyFont="1" applyFill="1" applyBorder="1" applyAlignment="1" applyProtection="1">
      <alignment horizontal="center" vertical="center"/>
      <protection locked="0"/>
    </xf>
    <xf numFmtId="0" fontId="5" fillId="3" borderId="154" xfId="0" applyFont="1" applyFill="1" applyBorder="1" applyAlignment="1" applyProtection="1">
      <alignment horizontal="center" vertical="center"/>
      <protection locked="0"/>
    </xf>
    <xf numFmtId="0" fontId="21" fillId="0" borderId="88" xfId="0" applyFont="1" applyBorder="1" applyAlignment="1" applyProtection="1">
      <alignment horizontal="left" vertical="center"/>
      <protection locked="0"/>
    </xf>
    <xf numFmtId="0" fontId="5" fillId="0" borderId="24" xfId="0" applyFont="1" applyFill="1" applyBorder="1" applyAlignment="1">
      <alignment horizontal="center" vertical="center"/>
    </xf>
    <xf numFmtId="0" fontId="16" fillId="0" borderId="74" xfId="0" applyFont="1" applyFill="1" applyBorder="1" applyAlignment="1" applyProtection="1">
      <alignment horizontal="center" vertical="center"/>
      <protection locked="0"/>
    </xf>
    <xf numFmtId="0" fontId="16" fillId="0" borderId="10" xfId="0" applyFont="1" applyFill="1" applyBorder="1" applyAlignment="1">
      <alignment horizontal="left" vertical="center" wrapText="1"/>
    </xf>
    <xf numFmtId="0" fontId="5" fillId="4" borderId="156" xfId="0" applyFont="1" applyFill="1" applyBorder="1" applyAlignment="1" applyProtection="1">
      <alignment horizontal="center" vertical="center"/>
      <protection locked="0"/>
    </xf>
    <xf numFmtId="0" fontId="5" fillId="4" borderId="168" xfId="0" applyFont="1" applyFill="1" applyBorder="1" applyAlignment="1" applyProtection="1">
      <alignment horizontal="center" vertical="center"/>
      <protection locked="0"/>
    </xf>
    <xf numFmtId="0" fontId="5" fillId="3" borderId="165" xfId="0" applyFont="1" applyFill="1" applyBorder="1" applyAlignment="1" applyProtection="1">
      <alignment horizontal="center" vertical="center"/>
      <protection locked="0"/>
    </xf>
    <xf numFmtId="0" fontId="4" fillId="0" borderId="0" xfId="0" applyFont="1" applyAlignment="1"/>
    <xf numFmtId="0" fontId="5" fillId="0" borderId="0" xfId="0" applyFont="1" applyAlignment="1">
      <alignment vertical="center"/>
    </xf>
    <xf numFmtId="0" fontId="5" fillId="3" borderId="185" xfId="0" applyFont="1" applyFill="1" applyBorder="1" applyAlignment="1" applyProtection="1">
      <alignment horizontal="center" vertical="center"/>
      <protection locked="0"/>
    </xf>
    <xf numFmtId="0" fontId="12" fillId="23" borderId="309" xfId="0" applyFont="1" applyFill="1" applyBorder="1" applyAlignment="1">
      <alignment horizontal="center" vertical="center"/>
    </xf>
    <xf numFmtId="0" fontId="12" fillId="24" borderId="308" xfId="0" applyFont="1" applyFill="1" applyBorder="1" applyAlignment="1">
      <alignment horizontal="center" vertical="center" wrapText="1"/>
    </xf>
    <xf numFmtId="0" fontId="4" fillId="23" borderId="312" xfId="0" applyFont="1" applyFill="1" applyBorder="1" applyAlignment="1">
      <alignment horizontal="center" vertical="center"/>
    </xf>
    <xf numFmtId="0" fontId="13" fillId="24" borderId="312" xfId="0" applyFont="1" applyFill="1" applyBorder="1" applyAlignment="1">
      <alignment horizontal="center" vertical="center"/>
    </xf>
    <xf numFmtId="1" fontId="16" fillId="25" borderId="310" xfId="0" applyNumberFormat="1" applyFont="1" applyFill="1" applyBorder="1" applyAlignment="1">
      <alignment horizontal="left" vertical="center" wrapText="1"/>
    </xf>
    <xf numFmtId="0" fontId="4" fillId="21" borderId="42" xfId="0" applyFont="1" applyFill="1" applyBorder="1" applyAlignment="1">
      <alignment horizontal="center" vertical="center"/>
    </xf>
    <xf numFmtId="0" fontId="53" fillId="26" borderId="132" xfId="0" applyFont="1" applyFill="1" applyBorder="1"/>
    <xf numFmtId="0" fontId="53" fillId="26" borderId="2" xfId="0" applyFont="1" applyFill="1" applyBorder="1"/>
    <xf numFmtId="0" fontId="53" fillId="26" borderId="73" xfId="0" applyFont="1" applyFill="1" applyBorder="1" applyAlignment="1">
      <alignment horizontal="left" vertical="top"/>
    </xf>
    <xf numFmtId="0" fontId="5" fillId="21" borderId="219" xfId="0" applyFont="1" applyFill="1" applyBorder="1" applyAlignment="1" applyProtection="1">
      <alignment horizontal="center" vertical="center"/>
      <protection locked="0"/>
    </xf>
    <xf numFmtId="0" fontId="5" fillId="21" borderId="192" xfId="0" applyFont="1" applyFill="1" applyBorder="1" applyAlignment="1" applyProtection="1">
      <alignment horizontal="center" vertical="center"/>
      <protection locked="0"/>
    </xf>
    <xf numFmtId="0" fontId="5" fillId="21" borderId="193" xfId="0" applyFont="1" applyFill="1" applyBorder="1" applyAlignment="1" applyProtection="1">
      <alignment horizontal="center" vertical="center"/>
      <protection locked="0"/>
    </xf>
    <xf numFmtId="0" fontId="5" fillId="21" borderId="117" xfId="0" applyFont="1" applyFill="1" applyBorder="1" applyAlignment="1" applyProtection="1">
      <alignment horizontal="center" vertical="center"/>
      <protection locked="0"/>
    </xf>
    <xf numFmtId="0" fontId="5" fillId="21" borderId="198" xfId="0" applyFont="1" applyFill="1" applyBorder="1" applyAlignment="1" applyProtection="1">
      <alignment horizontal="center" vertical="center"/>
      <protection locked="0"/>
    </xf>
    <xf numFmtId="0" fontId="5" fillId="21" borderId="68" xfId="0" applyFont="1" applyFill="1" applyBorder="1" applyAlignment="1" applyProtection="1">
      <alignment horizontal="center" vertical="center"/>
      <protection locked="0"/>
    </xf>
    <xf numFmtId="0" fontId="5" fillId="7" borderId="63" xfId="0" applyFont="1" applyFill="1" applyBorder="1" applyAlignment="1">
      <alignment horizontal="center" vertical="center" wrapText="1"/>
    </xf>
    <xf numFmtId="0" fontId="5" fillId="7" borderId="208" xfId="0" applyFont="1" applyFill="1" applyBorder="1" applyAlignment="1">
      <alignment horizontal="center" vertical="center" wrapText="1"/>
    </xf>
    <xf numFmtId="0" fontId="12" fillId="5" borderId="319" xfId="0" applyFont="1" applyFill="1" applyBorder="1" applyAlignment="1">
      <alignment horizontal="center" vertical="center"/>
    </xf>
    <xf numFmtId="0" fontId="12" fillId="5" borderId="320" xfId="0" applyFont="1" applyFill="1" applyBorder="1" applyAlignment="1">
      <alignment horizontal="center"/>
    </xf>
    <xf numFmtId="0" fontId="12" fillId="5" borderId="321" xfId="0" applyFont="1" applyFill="1" applyBorder="1" applyAlignment="1">
      <alignment horizontal="center"/>
    </xf>
    <xf numFmtId="0" fontId="5" fillId="7" borderId="205" xfId="0" applyFont="1" applyFill="1" applyBorder="1" applyAlignment="1">
      <alignment horizontal="center" vertical="center" wrapText="1"/>
    </xf>
    <xf numFmtId="0" fontId="5" fillId="3" borderId="221" xfId="0" applyFont="1" applyFill="1" applyBorder="1" applyAlignment="1" applyProtection="1">
      <alignment horizontal="center" vertical="center"/>
      <protection locked="0"/>
    </xf>
    <xf numFmtId="0" fontId="5" fillId="4" borderId="111" xfId="0" applyFont="1" applyFill="1" applyBorder="1" applyAlignment="1" applyProtection="1">
      <alignment horizontal="center" vertical="center"/>
      <protection locked="0"/>
    </xf>
    <xf numFmtId="0" fontId="5" fillId="4" borderId="322" xfId="0" applyFont="1" applyFill="1" applyBorder="1" applyAlignment="1" applyProtection="1">
      <alignment horizontal="center" vertical="center"/>
      <protection locked="0"/>
    </xf>
    <xf numFmtId="0" fontId="5" fillId="3" borderId="322" xfId="0" applyFont="1" applyFill="1" applyBorder="1" applyAlignment="1" applyProtection="1">
      <alignment horizontal="center" vertical="center"/>
      <protection locked="0"/>
    </xf>
    <xf numFmtId="0" fontId="5" fillId="3" borderId="233" xfId="0" applyFont="1" applyFill="1" applyBorder="1" applyAlignment="1" applyProtection="1">
      <alignment horizontal="center" vertical="center"/>
      <protection locked="0"/>
    </xf>
    <xf numFmtId="0" fontId="16" fillId="0" borderId="194" xfId="0" applyFont="1" applyBorder="1" applyAlignment="1">
      <alignment horizontal="right" vertical="center"/>
    </xf>
    <xf numFmtId="0" fontId="16" fillId="0" borderId="111" xfId="0" applyFont="1" applyBorder="1" applyAlignment="1">
      <alignment horizontal="right" vertical="center"/>
    </xf>
    <xf numFmtId="0" fontId="5" fillId="7" borderId="88" xfId="0" applyFont="1" applyFill="1" applyBorder="1" applyAlignment="1">
      <alignment horizontal="center" vertical="center" wrapText="1"/>
    </xf>
    <xf numFmtId="0" fontId="21" fillId="0" borderId="108" xfId="0" applyFont="1" applyBorder="1" applyAlignment="1">
      <alignment horizontal="right" vertical="center" wrapText="1"/>
    </xf>
    <xf numFmtId="0" fontId="2" fillId="27" borderId="310" xfId="0" applyFont="1" applyFill="1" applyBorder="1" applyAlignment="1">
      <alignment horizontal="left" vertical="center" wrapText="1"/>
    </xf>
    <xf numFmtId="0" fontId="4" fillId="27" borderId="273" xfId="0" applyFont="1" applyFill="1" applyBorder="1" applyAlignment="1">
      <alignment vertical="center"/>
    </xf>
    <xf numFmtId="0" fontId="4" fillId="27" borderId="179" xfId="0" applyFont="1" applyFill="1" applyBorder="1" applyAlignment="1">
      <alignment vertical="center"/>
    </xf>
    <xf numFmtId="0" fontId="7" fillId="27" borderId="179" xfId="0" applyFont="1" applyFill="1" applyBorder="1" applyAlignment="1">
      <alignment horizontal="left" vertical="center"/>
    </xf>
    <xf numFmtId="0" fontId="7" fillId="27" borderId="179" xfId="0" applyFont="1" applyFill="1" applyBorder="1" applyAlignment="1">
      <alignment horizontal="center" vertical="center"/>
    </xf>
    <xf numFmtId="0" fontId="24" fillId="27" borderId="179" xfId="0" applyFont="1" applyFill="1" applyBorder="1" applyAlignment="1">
      <alignment horizontal="right" vertical="center"/>
    </xf>
    <xf numFmtId="0" fontId="8" fillId="27" borderId="220" xfId="0" applyFont="1" applyFill="1" applyBorder="1" applyAlignment="1">
      <alignment horizontal="center" vertical="center"/>
    </xf>
    <xf numFmtId="1" fontId="13" fillId="27" borderId="220" xfId="0" applyNumberFormat="1" applyFont="1" applyFill="1" applyBorder="1" applyAlignment="1">
      <alignment horizontal="center" vertical="center"/>
    </xf>
    <xf numFmtId="1" fontId="16" fillId="27" borderId="314" xfId="0" applyNumberFormat="1" applyFont="1" applyFill="1" applyBorder="1" applyAlignment="1">
      <alignment horizontal="left" vertical="center" wrapText="1"/>
    </xf>
    <xf numFmtId="1" fontId="16" fillId="27" borderId="274" xfId="0" applyNumberFormat="1" applyFont="1" applyFill="1" applyBorder="1" applyAlignment="1">
      <alignment horizontal="left" vertical="center" wrapText="1"/>
    </xf>
    <xf numFmtId="0" fontId="5" fillId="27" borderId="273" xfId="0" applyFont="1" applyFill="1" applyBorder="1" applyAlignment="1">
      <alignment vertical="top"/>
    </xf>
    <xf numFmtId="0" fontId="5" fillId="27" borderId="179" xfId="0" applyFont="1" applyFill="1" applyBorder="1" applyAlignment="1">
      <alignment vertical="top"/>
    </xf>
    <xf numFmtId="0" fontId="16" fillId="27" borderId="179" xfId="0" applyFont="1" applyFill="1" applyBorder="1" applyAlignment="1">
      <alignment horizontal="left" vertical="center"/>
    </xf>
    <xf numFmtId="0" fontId="16" fillId="27" borderId="179" xfId="0" applyFont="1" applyFill="1" applyBorder="1" applyAlignment="1">
      <alignment horizontal="center" vertical="top"/>
    </xf>
    <xf numFmtId="0" fontId="5" fillId="0" borderId="194" xfId="0" applyFont="1" applyBorder="1" applyAlignment="1">
      <alignment horizontal="right" vertical="center"/>
    </xf>
    <xf numFmtId="0" fontId="21" fillId="0" borderId="67" xfId="0" applyFont="1" applyBorder="1" applyAlignment="1">
      <alignment horizontal="right" vertical="center"/>
    </xf>
    <xf numFmtId="0" fontId="21" fillId="0" borderId="90" xfId="0" applyFont="1" applyFill="1" applyBorder="1" applyAlignment="1">
      <alignment horizontal="right" vertical="top"/>
    </xf>
    <xf numFmtId="0" fontId="21" fillId="0" borderId="124" xfId="0" applyFont="1" applyFill="1" applyBorder="1" applyAlignment="1">
      <alignment horizontal="right" vertical="top"/>
    </xf>
    <xf numFmtId="164" fontId="12" fillId="0" borderId="198" xfId="0" applyNumberFormat="1" applyFont="1" applyBorder="1" applyAlignment="1">
      <alignment horizontal="center" vertical="center"/>
    </xf>
    <xf numFmtId="0" fontId="5" fillId="0" borderId="1" xfId="0" applyFont="1" applyBorder="1" applyAlignment="1" applyProtection="1">
      <alignment horizontal="center" vertical="center"/>
      <protection locked="0"/>
    </xf>
    <xf numFmtId="0" fontId="19" fillId="29" borderId="80" xfId="0" applyFont="1" applyFill="1" applyBorder="1" applyAlignment="1">
      <alignment horizontal="center" vertical="center"/>
    </xf>
    <xf numFmtId="0" fontId="19" fillId="29" borderId="189" xfId="0" applyFont="1" applyFill="1" applyBorder="1" applyAlignment="1">
      <alignment horizontal="center" vertical="center"/>
    </xf>
    <xf numFmtId="0" fontId="19" fillId="30" borderId="189" xfId="0" applyFont="1" applyFill="1" applyBorder="1" applyAlignment="1">
      <alignment horizontal="center" vertical="center"/>
    </xf>
    <xf numFmtId="0" fontId="19" fillId="30" borderId="114" xfId="0" applyFont="1" applyFill="1" applyBorder="1" applyAlignment="1">
      <alignment horizontal="center" vertical="center"/>
    </xf>
    <xf numFmtId="0" fontId="5" fillId="21" borderId="118" xfId="0" applyFont="1" applyFill="1" applyBorder="1" applyAlignment="1" applyProtection="1">
      <alignment horizontal="center" vertical="center"/>
      <protection locked="0"/>
    </xf>
    <xf numFmtId="0" fontId="5" fillId="0" borderId="20" xfId="0" applyFont="1" applyBorder="1" applyAlignment="1">
      <alignment horizontal="center" vertical="center"/>
    </xf>
    <xf numFmtId="0" fontId="5" fillId="7" borderId="179" xfId="0" applyFont="1" applyFill="1" applyBorder="1" applyAlignment="1">
      <alignment horizontal="center" vertical="center"/>
    </xf>
    <xf numFmtId="0" fontId="5" fillId="0" borderId="103" xfId="0" applyFont="1" applyFill="1" applyBorder="1" applyAlignment="1">
      <alignment horizontal="left" vertical="center" wrapText="1"/>
    </xf>
    <xf numFmtId="0" fontId="16" fillId="0" borderId="268" xfId="0" applyFont="1" applyFill="1" applyBorder="1" applyAlignment="1" applyProtection="1">
      <alignment horizontal="center" vertical="center"/>
      <protection locked="0"/>
    </xf>
    <xf numFmtId="0" fontId="5" fillId="0" borderId="268" xfId="0" applyFont="1" applyFill="1" applyBorder="1" applyAlignment="1">
      <alignment horizontal="left" vertical="center" wrapText="1"/>
    </xf>
    <xf numFmtId="0" fontId="5" fillId="4" borderId="182" xfId="0" applyFont="1" applyFill="1" applyBorder="1" applyAlignment="1" applyProtection="1">
      <alignment vertical="center"/>
      <protection locked="0"/>
    </xf>
    <xf numFmtId="0" fontId="12" fillId="4" borderId="183" xfId="0" applyFont="1" applyFill="1" applyBorder="1" applyAlignment="1" applyProtection="1">
      <alignment vertical="center"/>
      <protection locked="0"/>
    </xf>
    <xf numFmtId="0" fontId="5" fillId="3" borderId="183" xfId="0" applyFont="1" applyFill="1" applyBorder="1" applyAlignment="1" applyProtection="1">
      <alignment vertical="center"/>
      <protection locked="0"/>
    </xf>
    <xf numFmtId="0" fontId="5" fillId="3" borderId="184" xfId="0" applyFont="1" applyFill="1" applyBorder="1" applyAlignment="1" applyProtection="1">
      <alignment vertical="center"/>
      <protection locked="0"/>
    </xf>
    <xf numFmtId="0" fontId="5" fillId="0" borderId="74" xfId="0" applyFont="1" applyBorder="1" applyAlignment="1">
      <alignment vertical="center" wrapText="1"/>
    </xf>
    <xf numFmtId="0" fontId="16" fillId="0" borderId="74" xfId="0" applyFont="1" applyBorder="1" applyAlignment="1" applyProtection="1">
      <alignment vertical="center" wrapText="1"/>
      <protection locked="0"/>
    </xf>
    <xf numFmtId="0" fontId="5" fillId="13" borderId="196" xfId="0" applyFont="1" applyFill="1" applyBorder="1" applyAlignment="1">
      <alignment horizontal="left" vertical="center"/>
    </xf>
    <xf numFmtId="0" fontId="5" fillId="13" borderId="181" xfId="0" applyFont="1" applyFill="1" applyBorder="1" applyAlignment="1">
      <alignment horizontal="left" vertical="center" wrapText="1"/>
    </xf>
    <xf numFmtId="0" fontId="5" fillId="13" borderId="181" xfId="0" applyFont="1" applyFill="1" applyBorder="1" applyAlignment="1">
      <alignment horizontal="left" vertical="center"/>
    </xf>
    <xf numFmtId="0" fontId="16" fillId="13" borderId="79" xfId="0" applyFont="1" applyFill="1" applyBorder="1" applyAlignment="1" applyProtection="1">
      <alignment horizontal="left" vertical="center" wrapText="1"/>
      <protection locked="0"/>
    </xf>
    <xf numFmtId="0" fontId="5" fillId="4" borderId="79" xfId="0" applyFont="1" applyFill="1" applyBorder="1" applyAlignment="1" applyProtection="1">
      <alignment horizontal="center" vertical="center"/>
      <protection locked="0"/>
    </xf>
    <xf numFmtId="0" fontId="5" fillId="13" borderId="117" xfId="0" applyFont="1" applyFill="1" applyBorder="1" applyAlignment="1">
      <alignment horizontal="left" vertical="center" wrapText="1"/>
    </xf>
    <xf numFmtId="0" fontId="5" fillId="13" borderId="323" xfId="0" applyFont="1" applyFill="1" applyBorder="1" applyAlignment="1">
      <alignment horizontal="left" vertical="center" wrapText="1"/>
    </xf>
    <xf numFmtId="0" fontId="5" fillId="13" borderId="327" xfId="0" applyFont="1" applyFill="1" applyBorder="1" applyAlignment="1">
      <alignment horizontal="right" vertical="center" wrapText="1"/>
    </xf>
    <xf numFmtId="0" fontId="21" fillId="0" borderId="64" xfId="0" applyFont="1" applyBorder="1" applyAlignment="1">
      <alignment horizontal="center" vertical="center"/>
    </xf>
    <xf numFmtId="0" fontId="21" fillId="0" borderId="82" xfId="0" applyFont="1" applyBorder="1" applyAlignment="1">
      <alignment horizontal="center" vertical="center"/>
    </xf>
    <xf numFmtId="0" fontId="21" fillId="0" borderId="67" xfId="0" applyFont="1" applyBorder="1" applyAlignment="1">
      <alignment horizontal="center" vertical="center"/>
    </xf>
    <xf numFmtId="0" fontId="16" fillId="0" borderId="64" xfId="0" applyFont="1" applyBorder="1" applyAlignment="1">
      <alignment horizontal="center" vertical="center"/>
    </xf>
    <xf numFmtId="0" fontId="16" fillId="0" borderId="9" xfId="0" applyFont="1" applyBorder="1" applyAlignment="1">
      <alignment horizontal="right" vertical="center"/>
    </xf>
    <xf numFmtId="0" fontId="16" fillId="0" borderId="66" xfId="0" applyFont="1" applyBorder="1" applyAlignment="1">
      <alignment horizontal="right" vertical="center"/>
    </xf>
    <xf numFmtId="1" fontId="12" fillId="0" borderId="154" xfId="0" applyNumberFormat="1" applyFont="1" applyBorder="1" applyAlignment="1"/>
    <xf numFmtId="0" fontId="5" fillId="4" borderId="108" xfId="0" applyFont="1" applyFill="1" applyBorder="1" applyAlignment="1" applyProtection="1">
      <alignment vertical="center"/>
      <protection locked="0"/>
    </xf>
    <xf numFmtId="0" fontId="5" fillId="4" borderId="30" xfId="0" applyFont="1" applyFill="1" applyBorder="1" applyAlignment="1" applyProtection="1">
      <alignment vertical="center"/>
      <protection locked="0"/>
    </xf>
    <xf numFmtId="0" fontId="5" fillId="3" borderId="30" xfId="0" applyFont="1" applyFill="1" applyBorder="1" applyAlignment="1" applyProtection="1">
      <alignment vertical="center"/>
      <protection locked="0"/>
    </xf>
    <xf numFmtId="0" fontId="5" fillId="3" borderId="154" xfId="0" applyFont="1" applyFill="1" applyBorder="1" applyAlignment="1" applyProtection="1">
      <alignment vertical="center"/>
      <protection locked="0"/>
    </xf>
    <xf numFmtId="0" fontId="16" fillId="0" borderId="173" xfId="0" applyFont="1" applyFill="1" applyBorder="1" applyAlignment="1" applyProtection="1">
      <alignment horizontal="left" vertical="center" wrapText="1"/>
      <protection locked="0"/>
    </xf>
    <xf numFmtId="0" fontId="16" fillId="0" borderId="34" xfId="0" applyFont="1" applyFill="1" applyBorder="1" applyAlignment="1" applyProtection="1">
      <alignment horizontal="left" vertical="center" wrapText="1"/>
      <protection locked="0"/>
    </xf>
    <xf numFmtId="0" fontId="16" fillId="0" borderId="68" xfId="0" applyFont="1" applyBorder="1" applyAlignment="1" applyProtection="1">
      <alignment horizontal="left" vertical="center" wrapText="1"/>
      <protection locked="0"/>
    </xf>
    <xf numFmtId="0" fontId="5" fillId="11" borderId="63" xfId="0" applyFont="1" applyFill="1" applyBorder="1" applyAlignment="1">
      <alignment horizontal="center" vertical="center" wrapText="1"/>
    </xf>
    <xf numFmtId="164" fontId="12" fillId="31" borderId="64" xfId="0" applyNumberFormat="1" applyFont="1" applyFill="1" applyBorder="1" applyAlignment="1">
      <alignment horizontal="center" wrapText="1"/>
    </xf>
    <xf numFmtId="164" fontId="12" fillId="11" borderId="11" xfId="0" applyNumberFormat="1" applyFont="1" applyFill="1" applyBorder="1" applyAlignment="1">
      <alignment horizontal="center"/>
    </xf>
    <xf numFmtId="164" fontId="12" fillId="11" borderId="68" xfId="0" applyNumberFormat="1" applyFont="1" applyFill="1" applyBorder="1" applyAlignment="1">
      <alignment horizontal="center" vertical="center"/>
    </xf>
    <xf numFmtId="0" fontId="5" fillId="11" borderId="63" xfId="0" applyFont="1" applyFill="1" applyBorder="1" applyAlignment="1">
      <alignment horizontal="left" vertical="center" wrapText="1"/>
    </xf>
    <xf numFmtId="0" fontId="16" fillId="11" borderId="68" xfId="0" applyFont="1" applyFill="1" applyBorder="1" applyAlignment="1" applyProtection="1">
      <alignment horizontal="left" vertical="center" wrapText="1"/>
      <protection locked="0"/>
    </xf>
    <xf numFmtId="0" fontId="5" fillId="29" borderId="64" xfId="0" applyFont="1" applyFill="1" applyBorder="1" applyAlignment="1" applyProtection="1">
      <alignment horizontal="center" vertical="center"/>
      <protection locked="0"/>
    </xf>
    <xf numFmtId="0" fontId="5" fillId="29" borderId="1" xfId="0" applyFont="1" applyFill="1" applyBorder="1" applyAlignment="1" applyProtection="1">
      <alignment horizontal="center" vertical="center"/>
      <protection locked="0"/>
    </xf>
    <xf numFmtId="0" fontId="5" fillId="30" borderId="1" xfId="0" applyFont="1" applyFill="1" applyBorder="1" applyAlignment="1" applyProtection="1">
      <alignment horizontal="center" vertical="center"/>
      <protection locked="0"/>
    </xf>
    <xf numFmtId="0" fontId="5" fillId="30" borderId="11" xfId="0" applyFont="1" applyFill="1" applyBorder="1" applyAlignment="1" applyProtection="1">
      <alignment horizontal="center" vertical="center"/>
      <protection locked="0"/>
    </xf>
    <xf numFmtId="0" fontId="5" fillId="21" borderId="195" xfId="0" applyFont="1" applyFill="1" applyBorder="1" applyAlignment="1" applyProtection="1">
      <alignment horizontal="center" vertical="center"/>
      <protection locked="0"/>
    </xf>
    <xf numFmtId="0" fontId="5" fillId="21" borderId="196" xfId="0" applyFont="1" applyFill="1" applyBorder="1" applyAlignment="1" applyProtection="1">
      <alignment horizontal="center" vertical="center"/>
      <protection locked="0"/>
    </xf>
    <xf numFmtId="0" fontId="5" fillId="21" borderId="197" xfId="0" applyFont="1" applyFill="1" applyBorder="1" applyAlignment="1" applyProtection="1">
      <alignment horizontal="center" vertical="center"/>
      <protection locked="0"/>
    </xf>
    <xf numFmtId="0" fontId="5" fillId="21" borderId="42" xfId="0" applyFont="1" applyFill="1" applyBorder="1" applyAlignment="1">
      <alignment horizontal="center" vertical="center"/>
    </xf>
    <xf numFmtId="0" fontId="5" fillId="21" borderId="43" xfId="0" applyFont="1" applyFill="1" applyBorder="1" applyAlignment="1">
      <alignment horizontal="center" vertical="center"/>
    </xf>
    <xf numFmtId="0" fontId="5" fillId="21" borderId="46" xfId="0" applyFont="1" applyFill="1" applyBorder="1" applyAlignment="1">
      <alignment horizontal="center" vertical="center"/>
    </xf>
    <xf numFmtId="0" fontId="5" fillId="21" borderId="117" xfId="0" applyFont="1" applyFill="1" applyBorder="1" applyAlignment="1">
      <alignment horizontal="center" vertical="center"/>
    </xf>
    <xf numFmtId="0" fontId="5" fillId="21" borderId="118" xfId="0" applyFont="1" applyFill="1" applyBorder="1" applyAlignment="1">
      <alignment horizontal="center" vertical="center"/>
    </xf>
    <xf numFmtId="0" fontId="5" fillId="21" borderId="68" xfId="0" applyFont="1" applyFill="1" applyBorder="1" applyAlignment="1">
      <alignment horizontal="center" vertical="center"/>
    </xf>
    <xf numFmtId="0" fontId="7" fillId="11" borderId="47" xfId="0" applyFont="1" applyFill="1" applyBorder="1"/>
    <xf numFmtId="0" fontId="58" fillId="0" borderId="89" xfId="0" applyFont="1" applyFill="1" applyBorder="1" applyAlignment="1">
      <alignment horizontal="center" vertical="center"/>
    </xf>
    <xf numFmtId="0" fontId="5" fillId="0" borderId="160" xfId="0" applyFont="1" applyBorder="1" applyAlignment="1">
      <alignment horizontal="right" vertical="center"/>
    </xf>
    <xf numFmtId="0" fontId="5" fillId="0" borderId="328" xfId="0" applyFont="1" applyBorder="1" applyAlignment="1">
      <alignment horizontal="center" vertical="center"/>
    </xf>
    <xf numFmtId="0" fontId="5" fillId="3" borderId="123" xfId="0" applyFont="1" applyFill="1" applyBorder="1" applyAlignment="1" applyProtection="1">
      <alignment horizontal="center" vertical="center"/>
      <protection locked="0"/>
    </xf>
    <xf numFmtId="0" fontId="5" fillId="3" borderId="128" xfId="0" applyFont="1" applyFill="1" applyBorder="1" applyAlignment="1" applyProtection="1">
      <alignment horizontal="center" vertical="center"/>
      <protection locked="0"/>
    </xf>
    <xf numFmtId="0" fontId="5" fillId="0" borderId="223" xfId="0" applyFont="1" applyBorder="1" applyAlignment="1">
      <alignment horizontal="center" vertical="center"/>
    </xf>
    <xf numFmtId="1" fontId="12" fillId="4" borderId="108" xfId="0" applyNumberFormat="1" applyFont="1" applyFill="1" applyBorder="1" applyAlignment="1">
      <alignment horizontal="center" wrapText="1"/>
    </xf>
    <xf numFmtId="0" fontId="7" fillId="9" borderId="95" xfId="0" applyFont="1" applyFill="1" applyBorder="1" applyAlignment="1">
      <alignment horizontal="center"/>
    </xf>
    <xf numFmtId="0" fontId="58" fillId="0" borderId="63" xfId="0" applyFont="1" applyFill="1" applyBorder="1" applyAlignment="1">
      <alignment horizontal="center" vertical="center" wrapText="1"/>
    </xf>
    <xf numFmtId="0" fontId="16" fillId="0" borderId="194" xfId="0" applyFont="1" applyBorder="1" applyAlignment="1">
      <alignment horizontal="left" vertical="center"/>
    </xf>
    <xf numFmtId="0" fontId="56" fillId="29" borderId="82" xfId="0" applyFont="1" applyFill="1" applyBorder="1" applyAlignment="1" applyProtection="1">
      <alignment horizontal="center" vertical="center"/>
      <protection locked="0"/>
    </xf>
    <xf numFmtId="0" fontId="56" fillId="29" borderId="83" xfId="0" applyFont="1" applyFill="1" applyBorder="1" applyAlignment="1" applyProtection="1">
      <alignment horizontal="center" vertical="center"/>
      <protection locked="0"/>
    </xf>
    <xf numFmtId="0" fontId="56" fillId="30" borderId="110" xfId="0" applyFont="1" applyFill="1" applyBorder="1" applyAlignment="1" applyProtection="1">
      <alignment horizontal="center" vertical="center"/>
      <protection locked="0"/>
    </xf>
    <xf numFmtId="0" fontId="56" fillId="30" borderId="85" xfId="0" applyFont="1" applyFill="1" applyBorder="1" applyAlignment="1" applyProtection="1">
      <alignment horizontal="center" vertical="center"/>
      <protection locked="0"/>
    </xf>
    <xf numFmtId="0" fontId="5" fillId="29" borderId="117" xfId="0" applyFont="1" applyFill="1" applyBorder="1" applyAlignment="1" applyProtection="1">
      <alignment horizontal="center" vertical="center"/>
      <protection locked="0"/>
    </xf>
    <xf numFmtId="0" fontId="5" fillId="29" borderId="198" xfId="0" applyFont="1" applyFill="1" applyBorder="1" applyAlignment="1" applyProtection="1">
      <alignment horizontal="center" vertical="center"/>
      <protection locked="0"/>
    </xf>
    <xf numFmtId="0" fontId="5" fillId="30" borderId="198" xfId="0" applyFont="1" applyFill="1" applyBorder="1" applyAlignment="1" applyProtection="1">
      <alignment horizontal="center" vertical="center"/>
      <protection locked="0"/>
    </xf>
    <xf numFmtId="0" fontId="5" fillId="30" borderId="68" xfId="0" applyFont="1" applyFill="1" applyBorder="1" applyAlignment="1" applyProtection="1">
      <alignment horizontal="center" vertical="center"/>
      <protection locked="0"/>
    </xf>
    <xf numFmtId="0" fontId="50" fillId="21" borderId="157" xfId="0" applyFont="1" applyFill="1" applyBorder="1" applyAlignment="1" applyProtection="1">
      <alignment horizontal="center" vertical="center"/>
      <protection locked="0"/>
    </xf>
    <xf numFmtId="0" fontId="50" fillId="21" borderId="158" xfId="0" applyFont="1" applyFill="1" applyBorder="1" applyAlignment="1" applyProtection="1">
      <alignment horizontal="center" vertical="center"/>
      <protection locked="0"/>
    </xf>
    <xf numFmtId="0" fontId="50" fillId="21" borderId="159" xfId="0" applyFont="1" applyFill="1" applyBorder="1" applyAlignment="1" applyProtection="1">
      <alignment horizontal="center" vertical="center"/>
      <protection locked="0"/>
    </xf>
    <xf numFmtId="0" fontId="5" fillId="21" borderId="53" xfId="0" applyFont="1" applyFill="1" applyBorder="1" applyAlignment="1" applyProtection="1">
      <alignment horizontal="center" vertical="center"/>
      <protection locked="0"/>
    </xf>
    <xf numFmtId="0" fontId="5" fillId="21" borderId="209" xfId="0" applyFont="1" applyFill="1" applyBorder="1" applyAlignment="1" applyProtection="1">
      <alignment horizontal="center" vertical="center"/>
      <protection locked="0"/>
    </xf>
    <xf numFmtId="0" fontId="5" fillId="21" borderId="215" xfId="0" applyFont="1" applyFill="1" applyBorder="1" applyAlignment="1" applyProtection="1">
      <alignment horizontal="center" vertical="center"/>
      <protection locked="0"/>
    </xf>
    <xf numFmtId="0" fontId="5" fillId="21" borderId="216" xfId="0" applyFont="1" applyFill="1" applyBorder="1" applyAlignment="1" applyProtection="1">
      <alignment horizontal="center" vertical="center"/>
      <protection locked="0"/>
    </xf>
    <xf numFmtId="0" fontId="5" fillId="21" borderId="217" xfId="0" applyFont="1" applyFill="1" applyBorder="1" applyAlignment="1" applyProtection="1">
      <alignment horizontal="center" vertical="center"/>
      <protection locked="0"/>
    </xf>
    <xf numFmtId="0" fontId="5" fillId="21" borderId="223" xfId="0" applyFont="1" applyFill="1" applyBorder="1" applyAlignment="1" applyProtection="1">
      <alignment horizontal="center" vertical="center"/>
      <protection locked="0"/>
    </xf>
    <xf numFmtId="0" fontId="5" fillId="21" borderId="224" xfId="0" applyFont="1" applyFill="1" applyBorder="1" applyAlignment="1" applyProtection="1">
      <alignment horizontal="center" vertical="center"/>
      <protection locked="0"/>
    </xf>
    <xf numFmtId="0" fontId="5" fillId="21" borderId="225" xfId="0" applyFont="1" applyFill="1" applyBorder="1" applyAlignment="1" applyProtection="1">
      <alignment horizontal="center" vertical="center"/>
      <protection locked="0"/>
    </xf>
    <xf numFmtId="0" fontId="4" fillId="9" borderId="0" xfId="0" applyFont="1" applyFill="1" applyAlignment="1"/>
    <xf numFmtId="0" fontId="5" fillId="21" borderId="219" xfId="0" applyFont="1" applyFill="1" applyBorder="1" applyAlignment="1">
      <alignment horizontal="center" vertical="center"/>
    </xf>
    <xf numFmtId="0" fontId="5" fillId="21" borderId="192" xfId="0" applyFont="1" applyFill="1" applyBorder="1" applyAlignment="1">
      <alignment horizontal="center" vertical="center"/>
    </xf>
    <xf numFmtId="0" fontId="5" fillId="21" borderId="193" xfId="0" applyFont="1" applyFill="1" applyBorder="1" applyAlignment="1">
      <alignment horizontal="center" vertical="center"/>
    </xf>
    <xf numFmtId="0" fontId="5" fillId="21" borderId="117" xfId="0" applyFont="1" applyFill="1" applyBorder="1" applyProtection="1">
      <protection locked="0"/>
    </xf>
    <xf numFmtId="0" fontId="5" fillId="21" borderId="198" xfId="0" applyFont="1" applyFill="1" applyBorder="1" applyProtection="1">
      <protection locked="0"/>
    </xf>
    <xf numFmtId="0" fontId="5" fillId="21" borderId="34" xfId="0" applyFont="1" applyFill="1" applyBorder="1" applyProtection="1">
      <protection locked="0"/>
    </xf>
    <xf numFmtId="0" fontId="5" fillId="9" borderId="64" xfId="0" applyFont="1" applyFill="1" applyBorder="1" applyAlignment="1" applyProtection="1">
      <alignment horizontal="center" vertical="center"/>
      <protection locked="0"/>
    </xf>
    <xf numFmtId="0" fontId="5" fillId="9" borderId="1" xfId="0" applyFont="1" applyFill="1" applyBorder="1" applyAlignment="1" applyProtection="1">
      <alignment horizontal="center" vertical="center"/>
      <protection locked="0"/>
    </xf>
    <xf numFmtId="0" fontId="5" fillId="7" borderId="1" xfId="0" applyFont="1" applyFill="1" applyBorder="1" applyAlignment="1" applyProtection="1">
      <alignment horizontal="center" vertical="center"/>
      <protection locked="0"/>
    </xf>
    <xf numFmtId="0" fontId="5" fillId="7" borderId="11" xfId="0" applyFont="1" applyFill="1" applyBorder="1" applyAlignment="1" applyProtection="1">
      <alignment horizontal="center" vertical="center"/>
      <protection locked="0"/>
    </xf>
    <xf numFmtId="0" fontId="27" fillId="12" borderId="329" xfId="0" applyFont="1" applyFill="1" applyBorder="1" applyAlignment="1">
      <alignment horizontal="center"/>
    </xf>
    <xf numFmtId="0" fontId="27" fillId="12" borderId="180" xfId="0" applyFont="1" applyFill="1" applyBorder="1" applyAlignment="1">
      <alignment horizontal="center"/>
    </xf>
    <xf numFmtId="0" fontId="4" fillId="9" borderId="64" xfId="0" applyFont="1" applyFill="1" applyBorder="1" applyAlignment="1"/>
    <xf numFmtId="0" fontId="5" fillId="0" borderId="195" xfId="0" applyFont="1" applyBorder="1" applyAlignment="1">
      <alignment horizontal="center" vertical="center"/>
    </xf>
    <xf numFmtId="0" fontId="58" fillId="0" borderId="219" xfId="0" applyFont="1" applyFill="1" applyBorder="1" applyAlignment="1">
      <alignment horizontal="center" vertical="center"/>
    </xf>
    <xf numFmtId="0" fontId="5" fillId="3" borderId="202" xfId="0" applyFont="1" applyFill="1" applyBorder="1" applyAlignment="1" applyProtection="1">
      <alignment horizontal="center" vertical="center"/>
      <protection locked="0"/>
    </xf>
    <xf numFmtId="0" fontId="5" fillId="9" borderId="64" xfId="0" applyFont="1" applyFill="1" applyBorder="1" applyAlignment="1">
      <alignment horizontal="center" vertical="center"/>
    </xf>
    <xf numFmtId="0" fontId="5" fillId="9" borderId="1"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11" xfId="0" applyFont="1" applyFill="1" applyBorder="1" applyAlignment="1">
      <alignment horizontal="center" vertical="center"/>
    </xf>
    <xf numFmtId="0" fontId="16" fillId="0" borderId="39" xfId="0" applyFont="1" applyBorder="1" applyAlignment="1" applyProtection="1">
      <alignment horizontal="left" vertical="center" wrapText="1"/>
      <protection locked="0"/>
    </xf>
    <xf numFmtId="0" fontId="5" fillId="0" borderId="63" xfId="0" applyFont="1" applyBorder="1" applyAlignment="1">
      <alignment vertical="center"/>
    </xf>
    <xf numFmtId="0" fontId="16" fillId="0" borderId="63" xfId="0" applyFont="1" applyFill="1" applyBorder="1" applyAlignment="1" applyProtection="1">
      <alignment vertical="center" wrapText="1"/>
      <protection locked="0"/>
    </xf>
    <xf numFmtId="0" fontId="16" fillId="0" borderId="182" xfId="0" applyFont="1" applyBorder="1" applyAlignment="1">
      <alignment horizontal="center" vertical="center"/>
    </xf>
    <xf numFmtId="0" fontId="5" fillId="0" borderId="64" xfId="0" applyFont="1" applyBorder="1" applyAlignment="1">
      <alignment horizontal="center" vertical="center"/>
    </xf>
    <xf numFmtId="0" fontId="5" fillId="0" borderId="60" xfId="0" applyFont="1" applyBorder="1" applyAlignment="1">
      <alignment horizontal="center" vertical="center" wrapText="1"/>
    </xf>
    <xf numFmtId="0" fontId="7" fillId="9" borderId="95" xfId="0" applyFont="1" applyFill="1" applyBorder="1" applyProtection="1">
      <protection locked="0"/>
    </xf>
    <xf numFmtId="0" fontId="7" fillId="9" borderId="96" xfId="0" applyFont="1" applyFill="1" applyBorder="1" applyProtection="1">
      <protection locked="0"/>
    </xf>
    <xf numFmtId="0" fontId="7" fillId="9" borderId="62" xfId="0" applyFont="1" applyFill="1" applyBorder="1" applyProtection="1">
      <protection locked="0"/>
    </xf>
    <xf numFmtId="0" fontId="7" fillId="9" borderId="22" xfId="0" applyFont="1" applyFill="1" applyBorder="1" applyProtection="1">
      <protection locked="0"/>
    </xf>
    <xf numFmtId="0" fontId="41" fillId="0" borderId="0" xfId="1" applyAlignment="1"/>
    <xf numFmtId="0" fontId="5" fillId="29" borderId="119" xfId="0" applyFont="1" applyFill="1" applyBorder="1" applyAlignment="1" applyProtection="1">
      <alignment horizontal="center" vertical="center"/>
      <protection locked="0"/>
    </xf>
    <xf numFmtId="0" fontId="5" fillId="29" borderId="120" xfId="0" applyFont="1" applyFill="1" applyBorder="1" applyAlignment="1" applyProtection="1">
      <alignment horizontal="center" vertical="center"/>
      <protection locked="0"/>
    </xf>
    <xf numFmtId="0" fontId="5" fillId="30" borderId="121" xfId="0" applyFont="1" applyFill="1" applyBorder="1" applyAlignment="1" applyProtection="1">
      <alignment horizontal="center" vertical="center"/>
      <protection locked="0"/>
    </xf>
    <xf numFmtId="0" fontId="5" fillId="30" borderId="122" xfId="0" applyFont="1" applyFill="1" applyBorder="1" applyAlignment="1" applyProtection="1">
      <alignment horizontal="center" vertical="center"/>
      <protection locked="0"/>
    </xf>
    <xf numFmtId="0" fontId="5" fillId="29" borderId="328" xfId="0" applyFont="1" applyFill="1" applyBorder="1" applyAlignment="1" applyProtection="1">
      <alignment horizontal="center" vertical="center"/>
      <protection locked="0"/>
    </xf>
    <xf numFmtId="0" fontId="5" fillId="29" borderId="235" xfId="0" applyFont="1" applyFill="1" applyBorder="1" applyAlignment="1" applyProtection="1">
      <alignment horizontal="center" vertical="center"/>
      <protection locked="0"/>
    </xf>
    <xf numFmtId="0" fontId="5" fillId="30" borderId="235" xfId="0" applyFont="1" applyFill="1" applyBorder="1" applyAlignment="1" applyProtection="1">
      <alignment horizontal="center" vertical="center"/>
      <protection locked="0"/>
    </xf>
    <xf numFmtId="0" fontId="5" fillId="30" borderId="131" xfId="0" applyFont="1" applyFill="1" applyBorder="1" applyAlignment="1" applyProtection="1">
      <alignment horizontal="center" vertical="center"/>
      <protection locked="0"/>
    </xf>
    <xf numFmtId="1" fontId="12" fillId="0" borderId="214" xfId="0" applyNumberFormat="1" applyFont="1" applyBorder="1" applyAlignment="1">
      <alignment horizontal="center"/>
    </xf>
    <xf numFmtId="49" fontId="5" fillId="0" borderId="215" xfId="0" applyNumberFormat="1" applyFont="1" applyBorder="1" applyAlignment="1" applyProtection="1">
      <alignment horizontal="center" vertical="center"/>
      <protection locked="0"/>
    </xf>
    <xf numFmtId="1" fontId="12" fillId="4" borderId="53" xfId="0" applyNumberFormat="1" applyFont="1" applyFill="1" applyBorder="1" applyAlignment="1">
      <alignment horizontal="center" wrapText="1"/>
    </xf>
    <xf numFmtId="0" fontId="5" fillId="0" borderId="227" xfId="0" applyFont="1" applyBorder="1" applyAlignment="1">
      <alignment horizontal="center" vertical="center"/>
    </xf>
    <xf numFmtId="0" fontId="5" fillId="0" borderId="208" xfId="0" applyFont="1" applyBorder="1" applyAlignment="1">
      <alignment horizontal="center" vertical="center"/>
    </xf>
    <xf numFmtId="0" fontId="65" fillId="0" borderId="206" xfId="0" applyFont="1" applyBorder="1" applyAlignment="1" applyProtection="1">
      <alignment horizontal="left" vertical="center"/>
      <protection locked="0"/>
    </xf>
    <xf numFmtId="0" fontId="65" fillId="0" borderId="123" xfId="0" applyFont="1" applyBorder="1" applyAlignment="1">
      <alignment horizontal="left" vertical="center"/>
    </xf>
    <xf numFmtId="0" fontId="16" fillId="0" borderId="64" xfId="0" applyFont="1" applyBorder="1" applyAlignment="1">
      <alignment horizontal="right" vertical="center"/>
    </xf>
    <xf numFmtId="0" fontId="16" fillId="0" borderId="82" xfId="0" applyFont="1" applyFill="1" applyBorder="1" applyAlignment="1">
      <alignment horizontal="right" vertical="center"/>
    </xf>
    <xf numFmtId="0" fontId="66" fillId="0" borderId="269" xfId="0" applyFont="1" applyFill="1" applyBorder="1" applyAlignment="1" applyProtection="1">
      <alignment horizontal="center" vertical="center"/>
      <protection locked="0"/>
    </xf>
    <xf numFmtId="0" fontId="66" fillId="0" borderId="136" xfId="0" applyFont="1" applyFill="1" applyBorder="1" applyAlignment="1">
      <alignment vertical="center" wrapText="1"/>
    </xf>
    <xf numFmtId="0" fontId="50" fillId="0" borderId="193" xfId="0" applyFont="1" applyBorder="1" applyAlignment="1" applyProtection="1">
      <alignment horizontal="left" vertical="center" wrapText="1"/>
      <protection locked="0"/>
    </xf>
    <xf numFmtId="0" fontId="16" fillId="0" borderId="88" xfId="0" applyFont="1" applyBorder="1" applyAlignment="1">
      <alignment horizontal="center"/>
    </xf>
    <xf numFmtId="0" fontId="16" fillId="0" borderId="139" xfId="0" applyFont="1" applyBorder="1" applyAlignment="1">
      <alignment horizontal="center"/>
    </xf>
    <xf numFmtId="0" fontId="14" fillId="0" borderId="0" xfId="0" applyFont="1" applyAlignment="1">
      <alignment vertical="center"/>
    </xf>
    <xf numFmtId="0" fontId="4" fillId="0" borderId="0" xfId="0" applyFont="1" applyAlignment="1"/>
    <xf numFmtId="0" fontId="16" fillId="0" borderId="128" xfId="0" applyFont="1" applyBorder="1" applyAlignment="1">
      <alignment vertical="center" wrapText="1"/>
    </xf>
    <xf numFmtId="0" fontId="7" fillId="0" borderId="129" xfId="0" applyFont="1" applyBorder="1" applyAlignment="1">
      <alignment vertical="center"/>
    </xf>
    <xf numFmtId="0" fontId="16" fillId="0" borderId="3" xfId="0" applyFont="1" applyBorder="1" applyAlignment="1">
      <alignment horizontal="left" vertical="center" wrapText="1"/>
    </xf>
    <xf numFmtId="0" fontId="7" fillId="0" borderId="34" xfId="0" applyFont="1" applyBorder="1" applyAlignment="1">
      <alignment vertical="center"/>
    </xf>
    <xf numFmtId="0" fontId="5" fillId="0" borderId="59" xfId="0" applyFont="1" applyBorder="1" applyAlignment="1">
      <alignment horizontal="left" vertical="center" wrapText="1"/>
    </xf>
    <xf numFmtId="0" fontId="7" fillId="0" borderId="66" xfId="0" applyFont="1" applyBorder="1"/>
    <xf numFmtId="0" fontId="7" fillId="0" borderId="79" xfId="0" applyFont="1" applyBorder="1"/>
    <xf numFmtId="0" fontId="16" fillId="0" borderId="59" xfId="0" applyFont="1" applyBorder="1" applyAlignment="1" applyProtection="1">
      <alignment horizontal="left" vertical="center" wrapText="1"/>
      <protection locked="0"/>
    </xf>
    <xf numFmtId="0" fontId="7" fillId="0" borderId="66" xfId="0" applyFont="1" applyBorder="1" applyProtection="1">
      <protection locked="0"/>
    </xf>
    <xf numFmtId="0" fontId="7" fillId="0" borderId="79" xfId="0" applyFont="1" applyBorder="1" applyProtection="1">
      <protection locked="0"/>
    </xf>
    <xf numFmtId="0" fontId="5" fillId="0" borderId="66" xfId="0" applyFont="1" applyBorder="1" applyAlignment="1">
      <alignment horizontal="left" vertical="center" wrapText="1"/>
    </xf>
    <xf numFmtId="0" fontId="7" fillId="0" borderId="61" xfId="0" applyFont="1" applyBorder="1"/>
    <xf numFmtId="0" fontId="16" fillId="0" borderId="138" xfId="0" applyFont="1" applyBorder="1" applyAlignment="1">
      <alignment vertical="center" wrapText="1"/>
    </xf>
    <xf numFmtId="0" fontId="7" fillId="0" borderId="139" xfId="0" applyFont="1" applyBorder="1" applyAlignment="1">
      <alignment vertical="center"/>
    </xf>
    <xf numFmtId="0" fontId="16" fillId="0" borderId="130" xfId="0" applyFont="1" applyBorder="1" applyAlignment="1">
      <alignment horizontal="left" vertical="center" wrapText="1"/>
    </xf>
    <xf numFmtId="0" fontId="7" fillId="0" borderId="131" xfId="0" applyFont="1" applyBorder="1" applyAlignment="1">
      <alignment vertical="center"/>
    </xf>
    <xf numFmtId="0" fontId="16" fillId="0" borderId="123" xfId="0" applyFont="1" applyBorder="1" applyAlignment="1">
      <alignment vertical="center" wrapText="1"/>
    </xf>
    <xf numFmtId="0" fontId="7" fillId="0" borderId="88" xfId="0" applyFont="1" applyBorder="1" applyAlignment="1">
      <alignment vertical="center"/>
    </xf>
    <xf numFmtId="0" fontId="12" fillId="4" borderId="144" xfId="0" applyFont="1" applyFill="1" applyBorder="1" applyAlignment="1">
      <alignment horizontal="right" vertical="center"/>
    </xf>
    <xf numFmtId="0" fontId="3" fillId="0" borderId="145" xfId="0" applyFont="1" applyBorder="1"/>
    <xf numFmtId="0" fontId="3" fillId="0" borderId="146" xfId="0" applyFont="1" applyBorder="1"/>
    <xf numFmtId="0" fontId="59" fillId="0" borderId="34" xfId="0" applyFont="1" applyBorder="1" applyAlignment="1">
      <alignment vertical="center"/>
    </xf>
    <xf numFmtId="0" fontId="5" fillId="0" borderId="0" xfId="0" applyFont="1" applyAlignment="1">
      <alignment vertical="center"/>
    </xf>
    <xf numFmtId="0" fontId="16" fillId="0" borderId="17" xfId="0" applyFont="1" applyBorder="1" applyAlignment="1">
      <alignment vertical="center" wrapText="1"/>
    </xf>
    <xf numFmtId="0" fontId="7" fillId="0" borderId="29" xfId="0" applyFont="1" applyBorder="1" applyAlignment="1">
      <alignment vertical="center"/>
    </xf>
    <xf numFmtId="0" fontId="5" fillId="0" borderId="40" xfId="0" applyFont="1" applyBorder="1" applyAlignment="1">
      <alignment horizontal="left" vertical="center" wrapText="1"/>
    </xf>
    <xf numFmtId="0" fontId="7" fillId="0" borderId="10" xfId="0" applyFont="1" applyBorder="1" applyAlignment="1">
      <alignment vertical="center"/>
    </xf>
    <xf numFmtId="0" fontId="5" fillId="0" borderId="0" xfId="0" applyFont="1"/>
    <xf numFmtId="0" fontId="16" fillId="11" borderId="117" xfId="0" applyFont="1" applyFill="1" applyBorder="1" applyAlignment="1">
      <alignment horizontal="left" vertical="center"/>
    </xf>
    <xf numFmtId="0" fontId="58" fillId="11" borderId="198" xfId="0" applyFont="1" applyFill="1" applyBorder="1" applyAlignment="1">
      <alignment horizontal="left" vertical="center"/>
    </xf>
    <xf numFmtId="0" fontId="58" fillId="11" borderId="68" xfId="0" applyFont="1" applyFill="1" applyBorder="1" applyAlignment="1">
      <alignment horizontal="left" vertical="center"/>
    </xf>
    <xf numFmtId="0" fontId="16" fillId="0" borderId="235" xfId="0" applyFont="1" applyBorder="1" applyAlignment="1">
      <alignment horizontal="left" vertical="center" wrapText="1"/>
    </xf>
    <xf numFmtId="0" fontId="58" fillId="0" borderId="131" xfId="0" applyFont="1" applyBorder="1" applyAlignment="1">
      <alignment horizontal="left" vertical="center" wrapText="1"/>
    </xf>
    <xf numFmtId="0" fontId="16" fillId="3" borderId="59" xfId="0" applyFont="1" applyFill="1" applyBorder="1" applyAlignment="1" applyProtection="1">
      <alignment horizontal="left" vertical="center" wrapText="1"/>
      <protection locked="0"/>
    </xf>
    <xf numFmtId="0" fontId="7" fillId="0" borderId="66" xfId="0" applyFont="1" applyBorder="1" applyAlignment="1" applyProtection="1">
      <alignment horizontal="left"/>
      <protection locked="0"/>
    </xf>
    <xf numFmtId="0" fontId="7" fillId="0" borderId="61" xfId="0" applyFont="1" applyBorder="1" applyAlignment="1" applyProtection="1">
      <alignment horizontal="left"/>
      <protection locked="0"/>
    </xf>
    <xf numFmtId="0" fontId="16" fillId="0" borderId="135" xfId="0" applyFont="1" applyBorder="1" applyAlignment="1">
      <alignment horizontal="left" vertical="center" wrapText="1"/>
    </xf>
    <xf numFmtId="0" fontId="58" fillId="0" borderId="136" xfId="0" applyFont="1" applyBorder="1" applyAlignment="1">
      <alignment horizontal="left" vertical="center" wrapText="1"/>
    </xf>
    <xf numFmtId="0" fontId="16" fillId="0" borderId="128" xfId="0" applyFont="1" applyBorder="1" applyAlignment="1">
      <alignment horizontal="left" vertical="center" wrapText="1"/>
    </xf>
    <xf numFmtId="0" fontId="16" fillId="0" borderId="129" xfId="0" applyFont="1" applyBorder="1" applyAlignment="1">
      <alignment horizontal="left" vertical="center" wrapText="1"/>
    </xf>
    <xf numFmtId="0" fontId="16" fillId="0" borderId="123" xfId="0" applyFont="1" applyBorder="1" applyAlignment="1">
      <alignment horizontal="left" vertical="center" wrapText="1"/>
    </xf>
    <xf numFmtId="0" fontId="16" fillId="0" borderId="88" xfId="0" applyFont="1" applyBorder="1" applyAlignment="1">
      <alignment horizontal="left" vertical="center" wrapText="1"/>
    </xf>
    <xf numFmtId="0" fontId="5" fillId="0" borderId="238" xfId="0" applyFont="1" applyBorder="1" applyAlignment="1">
      <alignment horizontal="left" vertical="center" wrapText="1"/>
    </xf>
    <xf numFmtId="0" fontId="5" fillId="0" borderId="65" xfId="0" applyFont="1" applyBorder="1" applyAlignment="1">
      <alignment horizontal="left" vertical="center" wrapText="1"/>
    </xf>
    <xf numFmtId="0" fontId="16" fillId="0" borderId="238" xfId="0" applyFont="1" applyBorder="1" applyAlignment="1" applyProtection="1">
      <alignment horizontal="left" vertical="center" wrapText="1"/>
      <protection locked="0"/>
    </xf>
    <xf numFmtId="0" fontId="16" fillId="0" borderId="65" xfId="0" applyFont="1" applyBorder="1" applyAlignment="1" applyProtection="1">
      <alignment horizontal="left" vertical="center" wrapText="1"/>
      <protection locked="0"/>
    </xf>
    <xf numFmtId="0" fontId="14" fillId="0" borderId="0" xfId="0" applyFont="1" applyAlignment="1">
      <alignment horizontal="left"/>
    </xf>
    <xf numFmtId="0" fontId="14" fillId="0" borderId="0" xfId="0" applyFont="1" applyAlignment="1">
      <alignment horizontal="left" vertical="center"/>
    </xf>
    <xf numFmtId="0" fontId="16" fillId="0" borderId="141" xfId="0" applyFont="1" applyBorder="1" applyAlignment="1">
      <alignment vertical="center" wrapText="1"/>
    </xf>
    <xf numFmtId="0" fontId="7" fillId="0" borderId="142" xfId="0" applyFont="1" applyBorder="1" applyAlignment="1">
      <alignment vertical="center"/>
    </xf>
    <xf numFmtId="0" fontId="16" fillId="0" borderId="3" xfId="0" applyFont="1" applyBorder="1" applyAlignment="1">
      <alignment vertical="center" wrapText="1"/>
    </xf>
    <xf numFmtId="0" fontId="5" fillId="0" borderId="0" xfId="0" applyFont="1" applyAlignment="1">
      <alignment horizontal="left" vertical="center"/>
    </xf>
    <xf numFmtId="0" fontId="14" fillId="0" borderId="0" xfId="0" applyFont="1"/>
    <xf numFmtId="0" fontId="16" fillId="0" borderId="138" xfId="0" applyFont="1" applyBorder="1" applyAlignment="1">
      <alignment horizontal="left" vertical="center" wrapText="1"/>
    </xf>
    <xf numFmtId="0" fontId="16" fillId="14" borderId="24" xfId="0" applyFont="1" applyFill="1" applyBorder="1" applyAlignment="1">
      <alignment horizontal="left" vertical="center" wrapText="1"/>
    </xf>
    <xf numFmtId="0" fontId="7" fillId="11" borderId="5" xfId="0" applyFont="1" applyFill="1" applyBorder="1" applyAlignment="1">
      <alignment vertical="center"/>
    </xf>
    <xf numFmtId="0" fontId="7" fillId="11" borderId="198" xfId="0" applyFont="1" applyFill="1" applyBorder="1" applyAlignment="1">
      <alignment vertical="center"/>
    </xf>
    <xf numFmtId="0" fontId="1" fillId="12" borderId="74" xfId="0" applyFont="1" applyFill="1" applyBorder="1" applyAlignment="1">
      <alignment horizontal="center" vertical="center"/>
    </xf>
    <xf numFmtId="0" fontId="7" fillId="11" borderId="79" xfId="0" applyFont="1" applyFill="1" applyBorder="1"/>
    <xf numFmtId="0" fontId="2" fillId="12" borderId="74" xfId="0" applyFont="1" applyFill="1" applyBorder="1" applyAlignment="1">
      <alignment horizontal="left" vertical="center" wrapText="1"/>
    </xf>
    <xf numFmtId="0" fontId="3" fillId="11" borderId="79" xfId="0" applyFont="1" applyFill="1" applyBorder="1"/>
    <xf numFmtId="0" fontId="12" fillId="5" borderId="50" xfId="0" applyFont="1" applyFill="1" applyBorder="1"/>
    <xf numFmtId="0" fontId="3" fillId="0" borderId="33" xfId="0" applyFont="1" applyBorder="1"/>
    <xf numFmtId="0" fontId="5" fillId="3" borderId="59" xfId="0" applyFont="1" applyFill="1" applyBorder="1" applyAlignment="1">
      <alignment horizontal="left" vertical="center" wrapText="1"/>
    </xf>
    <xf numFmtId="0" fontId="7" fillId="0" borderId="201" xfId="0" applyFont="1" applyBorder="1"/>
    <xf numFmtId="0" fontId="16" fillId="0" borderId="264" xfId="0" applyFont="1" applyFill="1" applyBorder="1" applyAlignment="1" applyProtection="1">
      <alignment horizontal="left" vertical="center" wrapText="1"/>
      <protection locked="0"/>
    </xf>
    <xf numFmtId="0" fontId="16" fillId="0" borderId="238" xfId="0" applyFont="1" applyFill="1" applyBorder="1" applyAlignment="1" applyProtection="1">
      <alignment horizontal="left" vertical="center" wrapText="1"/>
      <protection locked="0"/>
    </xf>
    <xf numFmtId="0" fontId="16" fillId="0" borderId="65" xfId="0" applyFont="1" applyFill="1" applyBorder="1" applyAlignment="1" applyProtection="1">
      <alignment horizontal="left" vertical="center" wrapText="1"/>
      <protection locked="0"/>
    </xf>
    <xf numFmtId="0" fontId="7" fillId="0" borderId="61" xfId="0" applyFont="1" applyBorder="1" applyProtection="1">
      <protection locked="0"/>
    </xf>
    <xf numFmtId="0" fontId="16" fillId="3" borderId="74" xfId="0" applyFont="1" applyFill="1" applyBorder="1" applyAlignment="1" applyProtection="1">
      <alignment horizontal="left" vertical="center" wrapText="1"/>
      <protection locked="0"/>
    </xf>
    <xf numFmtId="0" fontId="7" fillId="0" borderId="201" xfId="0" applyFont="1" applyBorder="1" applyProtection="1">
      <protection locked="0"/>
    </xf>
    <xf numFmtId="0" fontId="50" fillId="0" borderId="123" xfId="0" applyFont="1" applyFill="1" applyBorder="1" applyAlignment="1">
      <alignment vertical="center" wrapText="1"/>
    </xf>
    <xf numFmtId="0" fontId="51" fillId="0" borderId="88" xfId="0" applyFont="1" applyFill="1" applyBorder="1" applyAlignment="1">
      <alignment vertical="center"/>
    </xf>
    <xf numFmtId="0" fontId="5" fillId="0" borderId="138" xfId="0" applyFont="1" applyFill="1" applyBorder="1" applyAlignment="1">
      <alignment vertical="center" wrapText="1"/>
    </xf>
    <xf numFmtId="0" fontId="7" fillId="0" borderId="139" xfId="0" applyFont="1" applyFill="1" applyBorder="1" applyAlignment="1">
      <alignment vertical="center"/>
    </xf>
    <xf numFmtId="0" fontId="5" fillId="0" borderId="13" xfId="0" applyFont="1" applyBorder="1" applyAlignment="1" applyProtection="1">
      <alignment horizontal="center" vertical="center"/>
      <protection locked="0"/>
    </xf>
    <xf numFmtId="0" fontId="7" fillId="0" borderId="26" xfId="0" applyFont="1" applyBorder="1" applyProtection="1">
      <protection locked="0"/>
    </xf>
    <xf numFmtId="0" fontId="5" fillId="0" borderId="19" xfId="0" applyFont="1" applyBorder="1" applyAlignment="1" applyProtection="1">
      <alignment horizontal="center" vertical="center"/>
      <protection locked="0"/>
    </xf>
    <xf numFmtId="0" fontId="7" fillId="0" borderId="36" xfId="0" applyFont="1" applyBorder="1" applyProtection="1">
      <protection locked="0"/>
    </xf>
    <xf numFmtId="0" fontId="16" fillId="0" borderId="260" xfId="0" applyFont="1" applyBorder="1" applyAlignment="1">
      <alignment vertical="center" wrapText="1"/>
    </xf>
    <xf numFmtId="0" fontId="7" fillId="0" borderId="262" xfId="0" applyFont="1" applyBorder="1" applyAlignment="1">
      <alignment vertical="center"/>
    </xf>
    <xf numFmtId="0" fontId="16" fillId="0" borderId="66" xfId="0" applyFont="1" applyBorder="1" applyAlignment="1" applyProtection="1">
      <alignment horizontal="left" vertical="center" wrapText="1"/>
      <protection locked="0"/>
    </xf>
    <xf numFmtId="49" fontId="5" fillId="0" borderId="59" xfId="0" applyNumberFormat="1" applyFont="1" applyBorder="1" applyAlignment="1" applyProtection="1">
      <alignment horizontal="center" vertical="center"/>
      <protection locked="0"/>
    </xf>
    <xf numFmtId="1" fontId="12" fillId="4" borderId="60" xfId="0" applyNumberFormat="1" applyFont="1" applyFill="1" applyBorder="1" applyAlignment="1">
      <alignment horizontal="center" wrapText="1"/>
    </xf>
    <xf numFmtId="0" fontId="7" fillId="0" borderId="113" xfId="0" applyFont="1" applyBorder="1" applyAlignment="1">
      <alignment horizontal="center"/>
    </xf>
    <xf numFmtId="1" fontId="12" fillId="0" borderId="19" xfId="0" applyNumberFormat="1" applyFont="1" applyBorder="1" applyAlignment="1">
      <alignment horizontal="center"/>
    </xf>
    <xf numFmtId="0" fontId="7" fillId="0" borderId="36" xfId="0" applyFont="1" applyBorder="1" applyAlignment="1">
      <alignment horizontal="center"/>
    </xf>
    <xf numFmtId="164" fontId="5" fillId="0" borderId="59" xfId="0" applyNumberFormat="1" applyFont="1" applyBorder="1" applyAlignment="1">
      <alignment horizontal="center" vertical="center"/>
    </xf>
    <xf numFmtId="0" fontId="16" fillId="0" borderId="110" xfId="0" applyFont="1" applyFill="1" applyBorder="1" applyAlignment="1">
      <alignment horizontal="left" vertical="center" wrapText="1"/>
    </xf>
    <xf numFmtId="0" fontId="58" fillId="0" borderId="193" xfId="0" applyFont="1" applyFill="1" applyBorder="1" applyAlignment="1">
      <alignment horizontal="left" vertical="center" wrapText="1"/>
    </xf>
    <xf numFmtId="0" fontId="16" fillId="0" borderId="141" xfId="0" applyFont="1" applyBorder="1" applyAlignment="1">
      <alignment horizontal="left" vertical="center" wrapText="1"/>
    </xf>
    <xf numFmtId="0" fontId="12" fillId="12" borderId="74" xfId="0" applyFont="1" applyFill="1" applyBorder="1" applyAlignment="1">
      <alignment horizontal="center" vertical="center"/>
    </xf>
    <xf numFmtId="0" fontId="7" fillId="11" borderId="47" xfId="0" applyFont="1" applyFill="1" applyBorder="1"/>
    <xf numFmtId="0" fontId="40" fillId="21" borderId="71" xfId="0" applyFont="1" applyFill="1" applyBorder="1" applyAlignment="1">
      <alignment horizontal="left" vertical="center" wrapText="1"/>
    </xf>
    <xf numFmtId="0" fontId="44" fillId="20" borderId="4" xfId="0" applyFont="1" applyFill="1" applyBorder="1"/>
    <xf numFmtId="0" fontId="44" fillId="20" borderId="6" xfId="0" applyFont="1" applyFill="1" applyBorder="1"/>
    <xf numFmtId="0" fontId="44" fillId="20" borderId="77" xfId="0" applyFont="1" applyFill="1" applyBorder="1"/>
    <xf numFmtId="0" fontId="44" fillId="20" borderId="48" xfId="0" applyFont="1" applyFill="1" applyBorder="1"/>
    <xf numFmtId="0" fontId="44" fillId="20" borderId="49" xfId="0" applyFont="1" applyFill="1" applyBorder="1"/>
    <xf numFmtId="0" fontId="5" fillId="0" borderId="231" xfId="0" applyFont="1" applyBorder="1" applyAlignment="1">
      <alignment vertical="center" wrapText="1"/>
    </xf>
    <xf numFmtId="0" fontId="7" fillId="0" borderId="136" xfId="0" applyFont="1" applyBorder="1" applyAlignment="1">
      <alignment vertical="center"/>
    </xf>
    <xf numFmtId="0" fontId="12" fillId="5" borderId="189" xfId="0" applyFont="1" applyFill="1" applyBorder="1" applyAlignment="1" applyProtection="1">
      <alignment horizontal="left" vertical="top" wrapText="1"/>
      <protection locked="0"/>
    </xf>
    <xf numFmtId="0" fontId="12" fillId="5" borderId="114" xfId="0" applyFont="1" applyFill="1" applyBorder="1" applyAlignment="1" applyProtection="1">
      <alignment horizontal="left" vertical="top" wrapText="1"/>
      <protection locked="0"/>
    </xf>
    <xf numFmtId="0" fontId="12" fillId="17" borderId="132" xfId="0" applyFont="1" applyFill="1" applyBorder="1" applyAlignment="1">
      <alignment horizontal="left" vertical="center"/>
    </xf>
    <xf numFmtId="0" fontId="12" fillId="17" borderId="73" xfId="0" applyFont="1" applyFill="1" applyBorder="1" applyAlignment="1">
      <alignment horizontal="left" vertical="center"/>
    </xf>
    <xf numFmtId="0" fontId="5" fillId="0" borderId="59" xfId="0" applyFont="1" applyBorder="1" applyAlignment="1">
      <alignment horizontal="left" vertical="center"/>
    </xf>
    <xf numFmtId="0" fontId="5" fillId="0" borderId="238" xfId="0" applyFont="1" applyBorder="1" applyAlignment="1">
      <alignment horizontal="left" vertical="center"/>
    </xf>
    <xf numFmtId="0" fontId="5" fillId="0" borderId="65" xfId="0" applyFont="1" applyBorder="1" applyAlignment="1">
      <alignment horizontal="left" vertical="center"/>
    </xf>
    <xf numFmtId="0" fontId="16" fillId="3" borderId="238" xfId="0" applyFont="1" applyFill="1" applyBorder="1" applyAlignment="1" applyProtection="1">
      <alignment horizontal="left" vertical="center" wrapText="1"/>
      <protection locked="0"/>
    </xf>
    <xf numFmtId="0" fontId="16" fillId="3" borderId="330" xfId="0" applyFont="1" applyFill="1" applyBorder="1" applyAlignment="1" applyProtection="1">
      <alignment horizontal="left" vertical="center" wrapText="1"/>
      <protection locked="0"/>
    </xf>
    <xf numFmtId="0" fontId="1" fillId="12" borderId="2" xfId="0" applyFont="1" applyFill="1" applyBorder="1" applyAlignment="1">
      <alignment horizontal="center"/>
    </xf>
    <xf numFmtId="0" fontId="7" fillId="11" borderId="73" xfId="0" applyFont="1" applyFill="1" applyBorder="1" applyAlignment="1">
      <alignment horizontal="center"/>
    </xf>
    <xf numFmtId="0" fontId="5" fillId="0" borderId="0" xfId="0" applyFont="1" applyAlignment="1">
      <alignment vertical="center" wrapText="1"/>
    </xf>
    <xf numFmtId="0" fontId="4" fillId="0" borderId="0" xfId="0" applyFont="1" applyAlignment="1">
      <alignment vertical="center"/>
    </xf>
    <xf numFmtId="0" fontId="5" fillId="0" borderId="59" xfId="0" applyFont="1" applyBorder="1" applyAlignment="1">
      <alignment horizontal="center" vertical="center" wrapText="1"/>
    </xf>
    <xf numFmtId="0" fontId="5" fillId="0" borderId="238" xfId="0" applyFont="1" applyBorder="1" applyAlignment="1">
      <alignment horizontal="center" vertical="center" wrapText="1"/>
    </xf>
    <xf numFmtId="0" fontId="5" fillId="0" borderId="65" xfId="0" applyFont="1" applyBorder="1" applyAlignment="1">
      <alignment horizontal="center" vertical="center" wrapText="1"/>
    </xf>
    <xf numFmtId="0" fontId="5" fillId="0" borderId="87" xfId="0" applyFont="1" applyBorder="1" applyAlignment="1">
      <alignment vertical="center" wrapText="1"/>
    </xf>
    <xf numFmtId="0" fontId="7" fillId="0" borderId="87" xfId="0" applyFont="1" applyBorder="1" applyAlignment="1">
      <alignment vertical="center"/>
    </xf>
    <xf numFmtId="0" fontId="5" fillId="0" borderId="123" xfId="0" applyFont="1" applyBorder="1" applyAlignment="1">
      <alignment vertical="center" wrapText="1"/>
    </xf>
    <xf numFmtId="0" fontId="16" fillId="0" borderId="0" xfId="0" applyFont="1" applyAlignment="1">
      <alignment vertical="center"/>
    </xf>
    <xf numFmtId="0" fontId="16" fillId="3" borderId="221" xfId="0" applyFont="1" applyFill="1" applyBorder="1" applyAlignment="1">
      <alignment vertical="center" wrapText="1"/>
    </xf>
    <xf numFmtId="0" fontId="7" fillId="0" borderId="222" xfId="0" applyFont="1" applyBorder="1" applyAlignment="1">
      <alignment vertical="center"/>
    </xf>
    <xf numFmtId="0" fontId="19" fillId="0" borderId="177" xfId="0" applyFont="1" applyBorder="1" applyAlignment="1" applyProtection="1">
      <alignment horizontal="left" vertical="top" wrapText="1"/>
      <protection locked="0"/>
    </xf>
    <xf numFmtId="0" fontId="7" fillId="0" borderId="177" xfId="0" applyFont="1" applyBorder="1" applyProtection="1">
      <protection locked="0"/>
    </xf>
    <xf numFmtId="0" fontId="14" fillId="0" borderId="0" xfId="0" applyFont="1" applyAlignment="1"/>
    <xf numFmtId="0" fontId="16" fillId="3" borderId="17" xfId="0" applyFont="1" applyFill="1" applyBorder="1" applyAlignment="1">
      <alignment vertical="center" wrapText="1"/>
    </xf>
    <xf numFmtId="0" fontId="5" fillId="0" borderId="128" xfId="0" applyFont="1" applyBorder="1" applyAlignment="1">
      <alignment vertical="center" wrapText="1"/>
    </xf>
    <xf numFmtId="0" fontId="16" fillId="0" borderId="123" xfId="0" applyFont="1" applyBorder="1" applyAlignment="1">
      <alignment vertical="center"/>
    </xf>
    <xf numFmtId="0" fontId="16" fillId="0" borderId="128" xfId="0" applyFont="1" applyBorder="1" applyAlignment="1">
      <alignment vertical="center"/>
    </xf>
    <xf numFmtId="0" fontId="7" fillId="0" borderId="62" xfId="0" applyFont="1" applyBorder="1" applyAlignment="1">
      <alignment horizontal="center"/>
    </xf>
    <xf numFmtId="0" fontId="7" fillId="0" borderId="23" xfId="0" applyFont="1" applyBorder="1" applyAlignment="1">
      <alignment horizontal="center"/>
    </xf>
    <xf numFmtId="0" fontId="16" fillId="0" borderId="123" xfId="0" applyFont="1" applyFill="1" applyBorder="1" applyAlignment="1">
      <alignment vertical="center" wrapText="1"/>
    </xf>
    <xf numFmtId="0" fontId="7" fillId="0" borderId="88" xfId="0" applyFont="1" applyFill="1" applyBorder="1" applyAlignment="1">
      <alignment vertical="center"/>
    </xf>
    <xf numFmtId="0" fontId="16" fillId="0" borderId="129" xfId="0" applyFont="1" applyBorder="1" applyAlignment="1">
      <alignment vertical="center" wrapText="1"/>
    </xf>
    <xf numFmtId="0" fontId="28" fillId="3" borderId="17" xfId="0" applyFont="1" applyFill="1" applyBorder="1" applyAlignment="1">
      <alignment vertical="center" wrapText="1"/>
    </xf>
    <xf numFmtId="0" fontId="16" fillId="3" borderId="123" xfId="0" applyFont="1" applyFill="1" applyBorder="1" applyAlignment="1">
      <alignment vertical="center" wrapText="1"/>
    </xf>
    <xf numFmtId="0" fontId="5" fillId="0" borderId="29" xfId="0" applyFont="1" applyBorder="1" applyAlignment="1">
      <alignment horizontal="left" vertical="center" wrapText="1"/>
    </xf>
    <xf numFmtId="0" fontId="7" fillId="0" borderId="10" xfId="0" applyFont="1" applyBorder="1"/>
    <xf numFmtId="0" fontId="7" fillId="0" borderId="15" xfId="0" applyFont="1" applyBorder="1"/>
    <xf numFmtId="0" fontId="12" fillId="0" borderId="0" xfId="0" applyFont="1" applyAlignment="1"/>
    <xf numFmtId="164" fontId="12" fillId="0" borderId="74" xfId="0" applyNumberFormat="1" applyFont="1" applyBorder="1" applyAlignment="1">
      <alignment horizontal="center" vertical="center"/>
    </xf>
    <xf numFmtId="0" fontId="7" fillId="0" borderId="193" xfId="0" applyFont="1" applyBorder="1"/>
    <xf numFmtId="0" fontId="50" fillId="0" borderId="213" xfId="0" applyFont="1" applyBorder="1" applyAlignment="1">
      <alignment horizontal="left" vertical="center" wrapText="1"/>
    </xf>
    <xf numFmtId="0" fontId="7" fillId="0" borderId="217" xfId="0" applyFont="1" applyBorder="1" applyAlignment="1">
      <alignment vertical="center"/>
    </xf>
    <xf numFmtId="0" fontId="3" fillId="9" borderId="179" xfId="0" applyFont="1" applyFill="1" applyBorder="1" applyAlignment="1">
      <alignment horizontal="center" vertical="center"/>
    </xf>
    <xf numFmtId="0" fontId="3" fillId="9" borderId="181" xfId="0" applyFont="1" applyFill="1" applyBorder="1" applyAlignment="1">
      <alignment horizontal="center" vertical="center"/>
    </xf>
    <xf numFmtId="0" fontId="7" fillId="0" borderId="200" xfId="0" applyFont="1" applyBorder="1" applyAlignment="1">
      <alignment horizontal="center" vertical="center"/>
    </xf>
    <xf numFmtId="0" fontId="7" fillId="0" borderId="233" xfId="0" applyFont="1" applyBorder="1" applyAlignment="1">
      <alignment horizontal="center" vertical="center"/>
    </xf>
    <xf numFmtId="0" fontId="5" fillId="0" borderId="87" xfId="0" applyFont="1" applyFill="1" applyBorder="1" applyAlignment="1">
      <alignment vertical="center" wrapText="1"/>
    </xf>
    <xf numFmtId="0" fontId="5" fillId="3" borderId="8" xfId="0" applyFont="1" applyFill="1" applyBorder="1" applyAlignment="1">
      <alignment vertical="center" wrapText="1"/>
    </xf>
    <xf numFmtId="0" fontId="16" fillId="0" borderId="135" xfId="0" applyFont="1" applyBorder="1" applyAlignment="1">
      <alignment vertical="center" wrapText="1"/>
    </xf>
    <xf numFmtId="0" fontId="16" fillId="3" borderId="138" xfId="0" applyFont="1" applyFill="1" applyBorder="1" applyAlignment="1">
      <alignment vertical="center" wrapText="1"/>
    </xf>
    <xf numFmtId="0" fontId="5" fillId="3" borderId="231" xfId="0" applyFont="1" applyFill="1" applyBorder="1" applyAlignment="1">
      <alignment horizontal="left" vertical="center"/>
    </xf>
    <xf numFmtId="0" fontId="5" fillId="3" borderId="231" xfId="0" applyFont="1" applyFill="1" applyBorder="1" applyAlignment="1">
      <alignment vertical="center" wrapText="1"/>
    </xf>
    <xf numFmtId="0" fontId="16" fillId="0" borderId="162" xfId="0" applyFont="1" applyBorder="1" applyAlignment="1">
      <alignment vertical="center" wrapText="1"/>
    </xf>
    <xf numFmtId="0" fontId="59" fillId="0" borderId="131" xfId="0" applyFont="1" applyBorder="1" applyAlignment="1">
      <alignment vertical="center"/>
    </xf>
    <xf numFmtId="0" fontId="5" fillId="3" borderId="231" xfId="0" applyFont="1" applyFill="1" applyBorder="1" applyAlignment="1">
      <alignment horizontal="left" vertical="center" wrapText="1"/>
    </xf>
    <xf numFmtId="0" fontId="40" fillId="21" borderId="271" xfId="0" applyFont="1" applyFill="1" applyBorder="1" applyAlignment="1">
      <alignment horizontal="left" vertical="center"/>
    </xf>
    <xf numFmtId="0" fontId="40" fillId="21" borderId="242" xfId="0" applyFont="1" applyFill="1" applyBorder="1" applyAlignment="1">
      <alignment horizontal="left" vertical="center"/>
    </xf>
    <xf numFmtId="0" fontId="40" fillId="21" borderId="272" xfId="0" applyFont="1" applyFill="1" applyBorder="1" applyAlignment="1">
      <alignment horizontal="left" vertical="center"/>
    </xf>
    <xf numFmtId="0" fontId="40" fillId="21" borderId="275" xfId="0" applyFont="1" applyFill="1" applyBorder="1" applyAlignment="1">
      <alignment horizontal="left" vertical="center"/>
    </xf>
    <xf numFmtId="0" fontId="40" fillId="21" borderId="276" xfId="0" applyFont="1" applyFill="1" applyBorder="1" applyAlignment="1">
      <alignment horizontal="left" vertical="center"/>
    </xf>
    <xf numFmtId="0" fontId="40" fillId="21" borderId="277" xfId="0" applyFont="1" applyFill="1" applyBorder="1" applyAlignment="1">
      <alignment horizontal="left" vertical="center"/>
    </xf>
    <xf numFmtId="0" fontId="2" fillId="12" borderId="74" xfId="0" applyFont="1" applyFill="1" applyBorder="1" applyAlignment="1">
      <alignment horizontal="center" vertical="center" wrapText="1"/>
    </xf>
    <xf numFmtId="0" fontId="2" fillId="12" borderId="79" xfId="0" applyFont="1" applyFill="1" applyBorder="1" applyAlignment="1">
      <alignment horizontal="center" vertical="center" wrapText="1"/>
    </xf>
    <xf numFmtId="0" fontId="16" fillId="3" borderId="231" xfId="0" applyFont="1" applyFill="1" applyBorder="1" applyAlignment="1">
      <alignment vertical="center" wrapText="1"/>
    </xf>
    <xf numFmtId="0" fontId="21" fillId="0" borderId="285" xfId="0" applyFont="1" applyBorder="1" applyAlignment="1">
      <alignment horizontal="left" vertical="center" wrapText="1"/>
    </xf>
    <xf numFmtId="0" fontId="7" fillId="0" borderId="286" xfId="0" applyFont="1" applyBorder="1" applyAlignment="1">
      <alignment vertical="center"/>
    </xf>
    <xf numFmtId="0" fontId="7" fillId="0" borderId="238" xfId="0" applyFont="1" applyBorder="1"/>
    <xf numFmtId="0" fontId="5" fillId="0" borderId="8" xfId="0" applyFont="1" applyBorder="1" applyAlignment="1">
      <alignment vertical="center" wrapText="1"/>
    </xf>
    <xf numFmtId="0" fontId="19" fillId="0" borderId="150" xfId="0" applyFont="1" applyBorder="1" applyAlignment="1" applyProtection="1">
      <alignment horizontal="left" vertical="top" wrapText="1"/>
      <protection locked="0"/>
    </xf>
    <xf numFmtId="0" fontId="7" fillId="0" borderId="150" xfId="0" applyFont="1" applyBorder="1" applyProtection="1">
      <protection locked="0"/>
    </xf>
    <xf numFmtId="0" fontId="16" fillId="0" borderId="74" xfId="0" applyFont="1" applyBorder="1" applyAlignment="1" applyProtection="1">
      <alignment horizontal="left" vertical="center" wrapText="1"/>
      <protection locked="0"/>
    </xf>
    <xf numFmtId="0" fontId="5" fillId="0" borderId="8" xfId="0" applyFont="1" applyFill="1" applyBorder="1" applyAlignment="1">
      <alignment vertical="center" wrapText="1"/>
    </xf>
    <xf numFmtId="0" fontId="5" fillId="0" borderId="74" xfId="0" applyFont="1" applyBorder="1" applyAlignment="1">
      <alignment horizontal="left" vertical="center" wrapText="1"/>
    </xf>
    <xf numFmtId="0" fontId="1" fillId="12" borderId="79" xfId="0" applyFont="1" applyFill="1" applyBorder="1" applyAlignment="1">
      <alignment horizontal="center" vertical="center"/>
    </xf>
    <xf numFmtId="0" fontId="19" fillId="4" borderId="281" xfId="0" applyFont="1" applyFill="1" applyBorder="1" applyAlignment="1">
      <alignment horizontal="center"/>
    </xf>
    <xf numFmtId="0" fontId="19" fillId="4" borderId="283" xfId="0" applyFont="1" applyFill="1" applyBorder="1" applyAlignment="1">
      <alignment horizontal="center"/>
    </xf>
    <xf numFmtId="164" fontId="12" fillId="0" borderId="19" xfId="0" applyNumberFormat="1" applyFont="1" applyBorder="1" applyAlignment="1">
      <alignment horizontal="center"/>
    </xf>
    <xf numFmtId="0" fontId="50" fillId="0" borderId="128" xfId="0" applyFont="1" applyFill="1" applyBorder="1" applyAlignment="1">
      <alignment vertical="center" wrapText="1"/>
    </xf>
    <xf numFmtId="0" fontId="7" fillId="0" borderId="129" xfId="0" applyFont="1" applyFill="1" applyBorder="1" applyAlignment="1">
      <alignment vertical="center"/>
    </xf>
    <xf numFmtId="0" fontId="21" fillId="0" borderId="3" xfId="0" applyFont="1" applyBorder="1" applyAlignment="1">
      <alignment vertical="center" wrapText="1"/>
    </xf>
    <xf numFmtId="164" fontId="12" fillId="0" borderId="59" xfId="0" applyNumberFormat="1" applyFont="1" applyBorder="1" applyAlignment="1">
      <alignment horizontal="center" vertical="center"/>
    </xf>
    <xf numFmtId="0" fontId="0" fillId="0" borderId="238" xfId="0" applyFont="1" applyBorder="1" applyAlignment="1">
      <alignment horizontal="center" vertical="center"/>
    </xf>
    <xf numFmtId="0" fontId="21" fillId="0" borderId="255" xfId="0" applyFont="1" applyBorder="1" applyAlignment="1">
      <alignment horizontal="left" vertical="center" wrapText="1"/>
    </xf>
    <xf numFmtId="0" fontId="7" fillId="0" borderId="256" xfId="0" applyFont="1" applyBorder="1" applyAlignment="1">
      <alignment vertical="center"/>
    </xf>
    <xf numFmtId="0" fontId="19" fillId="4" borderId="282" xfId="0" applyFont="1" applyFill="1" applyBorder="1" applyAlignment="1">
      <alignment horizontal="center"/>
    </xf>
    <xf numFmtId="0" fontId="19" fillId="4" borderId="284" xfId="0" applyFont="1" applyFill="1" applyBorder="1" applyAlignment="1">
      <alignment horizontal="center"/>
    </xf>
    <xf numFmtId="0" fontId="19" fillId="3" borderId="281" xfId="0" applyFont="1" applyFill="1" applyBorder="1" applyAlignment="1">
      <alignment horizontal="center"/>
    </xf>
    <xf numFmtId="0" fontId="19" fillId="3" borderId="283" xfId="0" applyFont="1" applyFill="1" applyBorder="1" applyAlignment="1">
      <alignment horizontal="center"/>
    </xf>
    <xf numFmtId="0" fontId="19" fillId="3" borderId="282" xfId="0" applyFont="1" applyFill="1" applyBorder="1" applyAlignment="1">
      <alignment horizontal="center"/>
    </xf>
    <xf numFmtId="0" fontId="19" fillId="3" borderId="284" xfId="0" applyFont="1" applyFill="1" applyBorder="1" applyAlignment="1">
      <alignment horizontal="center"/>
    </xf>
    <xf numFmtId="0" fontId="5" fillId="0" borderId="150" xfId="0" applyFont="1" applyBorder="1" applyAlignment="1">
      <alignment horizontal="left" vertical="top" wrapText="1"/>
    </xf>
    <xf numFmtId="0" fontId="7" fillId="0" borderId="150" xfId="0" applyFont="1" applyBorder="1"/>
    <xf numFmtId="0" fontId="21" fillId="3" borderId="123" xfId="0" applyFont="1" applyFill="1" applyBorder="1" applyAlignment="1">
      <alignment vertical="center" wrapText="1"/>
    </xf>
    <xf numFmtId="0" fontId="50" fillId="3" borderId="123" xfId="0" applyFont="1" applyFill="1" applyBorder="1" applyAlignment="1">
      <alignment vertical="center" wrapText="1"/>
    </xf>
    <xf numFmtId="0" fontId="51" fillId="0" borderId="88" xfId="0" applyFont="1" applyBorder="1" applyAlignment="1">
      <alignment vertical="center"/>
    </xf>
    <xf numFmtId="0" fontId="16" fillId="0" borderId="138" xfId="0" applyFont="1" applyFill="1" applyBorder="1" applyAlignment="1">
      <alignment vertical="center" wrapText="1"/>
    </xf>
    <xf numFmtId="0" fontId="16" fillId="0" borderId="59" xfId="0" applyFont="1" applyBorder="1" applyAlignment="1" applyProtection="1">
      <alignment vertical="center" wrapText="1"/>
      <protection locked="0"/>
    </xf>
    <xf numFmtId="0" fontId="7" fillId="0" borderId="66" xfId="0" applyFont="1" applyBorder="1" applyAlignment="1" applyProtection="1">
      <protection locked="0"/>
    </xf>
    <xf numFmtId="0" fontId="7" fillId="0" borderId="61" xfId="0" applyFont="1" applyBorder="1" applyAlignment="1" applyProtection="1">
      <protection locked="0"/>
    </xf>
    <xf numFmtId="0" fontId="12" fillId="12" borderId="132" xfId="0" applyFont="1" applyFill="1" applyBorder="1" applyAlignment="1">
      <alignment horizontal="center" vertical="center"/>
    </xf>
    <xf numFmtId="0" fontId="12" fillId="12" borderId="179" xfId="0" applyFont="1" applyFill="1" applyBorder="1" applyAlignment="1">
      <alignment horizontal="center" vertical="center"/>
    </xf>
    <xf numFmtId="0" fontId="5" fillId="4" borderId="60" xfId="0" applyFont="1" applyFill="1" applyBorder="1" applyAlignment="1" applyProtection="1">
      <alignment horizontal="center" vertical="center"/>
      <protection locked="0"/>
    </xf>
    <xf numFmtId="0" fontId="7" fillId="0" borderId="67" xfId="0" applyFont="1" applyBorder="1" applyProtection="1">
      <protection locked="0"/>
    </xf>
    <xf numFmtId="0" fontId="5" fillId="4" borderId="13" xfId="0" applyFont="1" applyFill="1" applyBorder="1" applyAlignment="1" applyProtection="1">
      <alignment horizontal="center" vertical="center"/>
      <protection locked="0"/>
    </xf>
    <xf numFmtId="0" fontId="5" fillId="3" borderId="109" xfId="0" applyFont="1" applyFill="1" applyBorder="1" applyAlignment="1" applyProtection="1">
      <alignment horizontal="center" vertical="center"/>
      <protection locked="0"/>
    </xf>
    <xf numFmtId="0" fontId="7" fillId="0" borderId="86" xfId="0" applyFont="1" applyBorder="1" applyProtection="1">
      <protection locked="0"/>
    </xf>
    <xf numFmtId="0" fontId="5" fillId="3" borderId="19" xfId="0" applyFont="1" applyFill="1" applyBorder="1" applyAlignment="1" applyProtection="1">
      <alignment horizontal="center" vertical="center"/>
      <protection locked="0"/>
    </xf>
    <xf numFmtId="0" fontId="21" fillId="0" borderId="60" xfId="0" applyFont="1" applyBorder="1" applyAlignment="1">
      <alignment horizontal="left" vertical="center"/>
    </xf>
    <xf numFmtId="0" fontId="7" fillId="0" borderId="67" xfId="0" applyFont="1" applyBorder="1"/>
    <xf numFmtId="0" fontId="21" fillId="0" borderId="17" xfId="0" applyFont="1" applyBorder="1" applyAlignment="1">
      <alignment vertical="center" wrapText="1"/>
    </xf>
    <xf numFmtId="0" fontId="7" fillId="0" borderId="40" xfId="0" applyFont="1" applyBorder="1" applyAlignment="1">
      <alignment vertical="center"/>
    </xf>
    <xf numFmtId="0" fontId="5" fillId="0" borderId="28" xfId="0" applyFont="1" applyBorder="1" applyAlignment="1">
      <alignment horizontal="center" vertical="center"/>
    </xf>
    <xf numFmtId="0" fontId="7" fillId="0" borderId="9" xfId="0" applyFont="1" applyBorder="1"/>
    <xf numFmtId="164" fontId="12" fillId="4" borderId="60" xfId="0" applyNumberFormat="1" applyFont="1" applyFill="1" applyBorder="1" applyAlignment="1">
      <alignment horizontal="center" wrapText="1"/>
    </xf>
    <xf numFmtId="0" fontId="7" fillId="0" borderId="67" xfId="0" applyFont="1" applyBorder="1" applyAlignment="1">
      <alignment horizontal="center"/>
    </xf>
    <xf numFmtId="0" fontId="21" fillId="3" borderId="128" xfId="0" applyFont="1" applyFill="1" applyBorder="1" applyAlignment="1">
      <alignment vertical="center" wrapText="1"/>
    </xf>
    <xf numFmtId="0" fontId="50" fillId="0" borderId="3" xfId="0" applyFont="1" applyBorder="1" applyAlignment="1">
      <alignment horizontal="left" vertical="center" wrapText="1"/>
    </xf>
    <xf numFmtId="0" fontId="51" fillId="0" borderId="34" xfId="0" applyFont="1" applyBorder="1" applyAlignment="1">
      <alignment vertical="center"/>
    </xf>
    <xf numFmtId="0" fontId="50" fillId="3" borderId="17" xfId="0" applyFont="1" applyFill="1" applyBorder="1" applyAlignment="1">
      <alignment vertical="center" wrapText="1"/>
    </xf>
    <xf numFmtId="0" fontId="51" fillId="0" borderId="29" xfId="0" applyFont="1" applyBorder="1" applyAlignment="1">
      <alignment vertical="center"/>
    </xf>
    <xf numFmtId="0" fontId="5" fillId="0" borderId="3" xfId="0" applyFont="1" applyBorder="1" applyAlignment="1">
      <alignment vertical="center" wrapText="1"/>
    </xf>
    <xf numFmtId="0" fontId="50" fillId="0" borderId="27" xfId="0" applyFont="1" applyBorder="1" applyAlignment="1">
      <alignment vertical="center" wrapText="1"/>
    </xf>
    <xf numFmtId="0" fontId="51" fillId="0" borderId="15" xfId="0" applyFont="1" applyBorder="1" applyAlignment="1">
      <alignment vertical="center"/>
    </xf>
    <xf numFmtId="0" fontId="5" fillId="0" borderId="3" xfId="0" applyFont="1" applyBorder="1" applyAlignment="1">
      <alignment horizontal="left" vertical="center" wrapText="1"/>
    </xf>
    <xf numFmtId="0" fontId="5" fillId="0" borderId="17" xfId="0" applyFont="1" applyBorder="1" applyAlignment="1">
      <alignment horizontal="left" vertical="center" wrapText="1"/>
    </xf>
    <xf numFmtId="0" fontId="16" fillId="0" borderId="40" xfId="0" applyFont="1" applyBorder="1" applyAlignment="1">
      <alignment vertical="center" wrapText="1"/>
    </xf>
    <xf numFmtId="0" fontId="5" fillId="0" borderId="17" xfId="0" applyFont="1" applyBorder="1" applyAlignment="1">
      <alignment vertical="center" wrapText="1"/>
    </xf>
    <xf numFmtId="0" fontId="50" fillId="0" borderId="3" xfId="0" applyFont="1" applyBorder="1" applyAlignment="1">
      <alignment vertical="center" wrapText="1"/>
    </xf>
    <xf numFmtId="0" fontId="5" fillId="0" borderId="41" xfId="0" applyFont="1" applyBorder="1" applyAlignment="1">
      <alignment horizontal="left" vertical="center" wrapText="1"/>
    </xf>
    <xf numFmtId="0" fontId="7" fillId="0" borderId="6" xfId="0" applyFont="1" applyBorder="1" applyAlignment="1">
      <alignment vertical="center"/>
    </xf>
    <xf numFmtId="0" fontId="5" fillId="0" borderId="138" xfId="0" applyFont="1" applyBorder="1" applyAlignment="1">
      <alignment vertical="center" wrapText="1"/>
    </xf>
    <xf numFmtId="0" fontId="16" fillId="0" borderId="8" xfId="0" applyFont="1" applyBorder="1" applyAlignment="1">
      <alignment vertical="center"/>
    </xf>
    <xf numFmtId="0" fontId="7" fillId="0" borderId="8" xfId="0" applyFont="1" applyBorder="1" applyAlignment="1">
      <alignment vertical="center"/>
    </xf>
    <xf numFmtId="0" fontId="16" fillId="0" borderId="207" xfId="0" applyFont="1" applyBorder="1" applyAlignment="1">
      <alignment horizontal="left" vertical="center" wrapText="1"/>
    </xf>
    <xf numFmtId="0" fontId="7" fillId="0" borderId="37" xfId="0" applyFont="1" applyBorder="1" applyAlignment="1">
      <alignment vertical="center"/>
    </xf>
    <xf numFmtId="0" fontId="16" fillId="0" borderId="17" xfId="0" applyFont="1" applyFill="1" applyBorder="1" applyAlignment="1">
      <alignment horizontal="left" vertical="center" wrapText="1"/>
    </xf>
    <xf numFmtId="0" fontId="7" fillId="0" borderId="29" xfId="0" applyFont="1" applyFill="1" applyBorder="1" applyAlignment="1">
      <alignment vertical="center"/>
    </xf>
    <xf numFmtId="0" fontId="50" fillId="0" borderId="195" xfId="0" applyFont="1" applyFill="1" applyBorder="1" applyAlignment="1" applyProtection="1">
      <alignment horizontal="left" vertical="center" wrapText="1"/>
      <protection locked="0"/>
    </xf>
    <xf numFmtId="0" fontId="16" fillId="0" borderId="222" xfId="0" applyFont="1" applyFill="1" applyBorder="1" applyAlignment="1" applyProtection="1">
      <alignment horizontal="left" vertical="center" wrapText="1"/>
      <protection locked="0"/>
    </xf>
    <xf numFmtId="0" fontId="50" fillId="0" borderId="235" xfId="0" applyFont="1" applyBorder="1" applyAlignment="1">
      <alignment vertical="center" wrapText="1"/>
    </xf>
    <xf numFmtId="0" fontId="51" fillId="0" borderId="131" xfId="0" applyFont="1" applyBorder="1" applyAlignment="1">
      <alignment vertical="center"/>
    </xf>
    <xf numFmtId="0" fontId="16" fillId="3" borderId="87" xfId="0" applyFont="1" applyFill="1" applyBorder="1" applyAlignment="1">
      <alignment vertical="center" wrapText="1"/>
    </xf>
    <xf numFmtId="0" fontId="16" fillId="3" borderId="8" xfId="0" applyFont="1" applyFill="1" applyBorder="1" applyAlignment="1">
      <alignment vertical="center" wrapText="1"/>
    </xf>
    <xf numFmtId="0" fontId="16" fillId="3" borderId="224" xfId="0" applyFont="1" applyFill="1" applyBorder="1" applyAlignment="1">
      <alignment vertical="center" wrapText="1"/>
    </xf>
    <xf numFmtId="0" fontId="50" fillId="0" borderId="40" xfId="0" applyFont="1" applyBorder="1" applyAlignment="1">
      <alignment horizontal="left" vertical="center" wrapText="1"/>
    </xf>
    <xf numFmtId="0" fontId="51" fillId="0" borderId="10" xfId="0" applyFont="1" applyBorder="1" applyAlignment="1">
      <alignment vertical="center"/>
    </xf>
    <xf numFmtId="0" fontId="50" fillId="0" borderId="54" xfId="0" applyFont="1" applyFill="1" applyBorder="1" applyAlignment="1">
      <alignment horizontal="left" vertical="center" wrapText="1"/>
    </xf>
    <xf numFmtId="0" fontId="51" fillId="0" borderId="56" xfId="0" applyFont="1" applyFill="1" applyBorder="1" applyAlignment="1">
      <alignment vertical="center"/>
    </xf>
    <xf numFmtId="0" fontId="16" fillId="0" borderId="27" xfId="0" applyFont="1" applyBorder="1" applyAlignment="1">
      <alignment horizontal="left" vertical="center" wrapText="1"/>
    </xf>
    <xf numFmtId="0" fontId="7" fillId="0" borderId="15" xfId="0" applyFont="1" applyBorder="1" applyAlignment="1">
      <alignment vertical="center"/>
    </xf>
    <xf numFmtId="0" fontId="16" fillId="3" borderId="128" xfId="0" applyFont="1" applyFill="1" applyBorder="1" applyAlignment="1">
      <alignment vertical="center" wrapText="1"/>
    </xf>
    <xf numFmtId="0" fontId="12" fillId="8" borderId="144" xfId="0" applyFont="1" applyFill="1" applyBorder="1" applyAlignment="1">
      <alignment horizontal="right" vertical="center"/>
    </xf>
    <xf numFmtId="0" fontId="3" fillId="9" borderId="145" xfId="0" applyFont="1" applyFill="1" applyBorder="1"/>
    <xf numFmtId="0" fontId="3" fillId="9" borderId="146" xfId="0" applyFont="1" applyFill="1" applyBorder="1"/>
    <xf numFmtId="0" fontId="12" fillId="12" borderId="72" xfId="0" applyFont="1" applyFill="1" applyBorder="1" applyAlignment="1">
      <alignment horizontal="center" vertical="center"/>
    </xf>
    <xf numFmtId="0" fontId="7" fillId="11" borderId="78" xfId="0" applyFont="1" applyFill="1" applyBorder="1"/>
    <xf numFmtId="0" fontId="21" fillId="0" borderId="229" xfId="0" applyFont="1" applyBorder="1" applyAlignment="1">
      <alignment horizontal="left" vertical="center" wrapText="1"/>
    </xf>
    <xf numFmtId="0" fontId="7" fillId="0" borderId="33" xfId="0" applyFont="1" applyBorder="1" applyAlignment="1">
      <alignment vertical="center"/>
    </xf>
    <xf numFmtId="0" fontId="16" fillId="0" borderId="213" xfId="0" applyFont="1" applyBorder="1" applyAlignment="1">
      <alignment horizontal="left" vertical="center" wrapText="1"/>
    </xf>
    <xf numFmtId="0" fontId="5" fillId="0" borderId="27" xfId="0" applyFont="1" applyBorder="1" applyAlignment="1">
      <alignment horizontal="left" vertical="center" wrapText="1"/>
    </xf>
    <xf numFmtId="0" fontId="16" fillId="7" borderId="3" xfId="0" applyFont="1" applyFill="1" applyBorder="1" applyAlignment="1">
      <alignment vertical="center" wrapText="1"/>
    </xf>
    <xf numFmtId="0" fontId="7" fillId="7" borderId="34" xfId="0" applyFont="1" applyFill="1" applyBorder="1" applyAlignment="1">
      <alignment vertical="center"/>
    </xf>
    <xf numFmtId="0" fontId="16" fillId="7" borderId="54" xfId="0" applyFont="1" applyFill="1" applyBorder="1" applyAlignment="1">
      <alignment vertical="center" wrapText="1"/>
    </xf>
    <xf numFmtId="0" fontId="59" fillId="7" borderId="56" xfId="0" applyFont="1" applyFill="1" applyBorder="1" applyAlignment="1">
      <alignment vertical="center"/>
    </xf>
    <xf numFmtId="0" fontId="16" fillId="0" borderId="3" xfId="0" applyFont="1" applyFill="1" applyBorder="1" applyAlignment="1">
      <alignment vertical="center" wrapText="1"/>
    </xf>
    <xf numFmtId="0" fontId="7" fillId="0" borderId="34" xfId="0" applyFont="1" applyFill="1" applyBorder="1" applyAlignment="1">
      <alignment vertical="center"/>
    </xf>
    <xf numFmtId="0" fontId="16" fillId="0" borderId="3" xfId="0" applyFont="1" applyFill="1" applyBorder="1" applyAlignment="1">
      <alignment horizontal="left" vertical="center" wrapText="1"/>
    </xf>
    <xf numFmtId="0" fontId="5" fillId="0" borderId="17" xfId="0" applyFont="1" applyFill="1" applyBorder="1" applyAlignment="1">
      <alignment horizontal="left" vertical="center" wrapText="1"/>
    </xf>
    <xf numFmtId="49" fontId="5" fillId="0" borderId="59" xfId="0" applyNumberFormat="1" applyFont="1" applyBorder="1" applyAlignment="1" applyProtection="1">
      <alignment horizontal="center" vertical="center" wrapText="1"/>
      <protection locked="0"/>
    </xf>
    <xf numFmtId="0" fontId="21" fillId="0" borderId="17" xfId="0" applyFont="1" applyFill="1" applyBorder="1" applyAlignment="1">
      <alignment horizontal="left" vertical="center" wrapText="1"/>
    </xf>
    <xf numFmtId="0" fontId="66" fillId="0" borderId="138" xfId="0" applyFont="1" applyFill="1" applyBorder="1" applyAlignment="1">
      <alignment vertical="center" wrapText="1"/>
    </xf>
    <xf numFmtId="0" fontId="67" fillId="0" borderId="139" xfId="0" applyFont="1" applyFill="1" applyBorder="1" applyAlignment="1">
      <alignment vertical="center"/>
    </xf>
    <xf numFmtId="0" fontId="5" fillId="0" borderId="27" xfId="0" applyFont="1" applyFill="1" applyBorder="1" applyAlignment="1">
      <alignment horizontal="left" vertical="center" wrapText="1"/>
    </xf>
    <xf numFmtId="0" fontId="7" fillId="0" borderId="15" xfId="0" applyFont="1" applyFill="1" applyBorder="1" applyAlignment="1">
      <alignment vertical="center"/>
    </xf>
    <xf numFmtId="0" fontId="16" fillId="0" borderId="138" xfId="0" applyFont="1" applyFill="1" applyBorder="1" applyAlignment="1">
      <alignment horizontal="left" vertical="center" wrapText="1"/>
    </xf>
    <xf numFmtId="0" fontId="5" fillId="4" borderId="67" xfId="0" applyFont="1" applyFill="1" applyBorder="1" applyAlignment="1" applyProtection="1">
      <alignment horizontal="center" vertical="center"/>
      <protection locked="0"/>
    </xf>
    <xf numFmtId="0" fontId="7" fillId="0" borderId="95" xfId="0" applyFont="1" applyBorder="1" applyProtection="1">
      <protection locked="0"/>
    </xf>
    <xf numFmtId="0" fontId="5" fillId="4" borderId="35" xfId="0" applyFont="1" applyFill="1" applyBorder="1" applyAlignment="1" applyProtection="1">
      <alignment horizontal="center" vertical="center"/>
      <protection locked="0"/>
    </xf>
    <xf numFmtId="0" fontId="7" fillId="0" borderId="226" xfId="0" applyFont="1" applyBorder="1" applyProtection="1">
      <protection locked="0"/>
    </xf>
    <xf numFmtId="0" fontId="7" fillId="0" borderId="96" xfId="0" applyFont="1" applyBorder="1" applyProtection="1">
      <protection locked="0"/>
    </xf>
    <xf numFmtId="0" fontId="16" fillId="0" borderId="166" xfId="0" applyFont="1" applyBorder="1" applyAlignment="1">
      <alignment horizontal="right" vertical="center"/>
    </xf>
    <xf numFmtId="0" fontId="7" fillId="0" borderId="227" xfId="0" applyFont="1" applyBorder="1"/>
    <xf numFmtId="0" fontId="5" fillId="3" borderId="13" xfId="0" applyFont="1" applyFill="1" applyBorder="1" applyAlignment="1" applyProtection="1">
      <alignment horizontal="center" vertical="center"/>
      <protection locked="0"/>
    </xf>
    <xf numFmtId="0" fontId="7" fillId="0" borderId="98" xfId="0" applyFont="1" applyBorder="1" applyProtection="1">
      <protection locked="0"/>
    </xf>
    <xf numFmtId="1" fontId="12" fillId="4" borderId="156" xfId="0" applyNumberFormat="1" applyFont="1" applyFill="1" applyBorder="1" applyAlignment="1">
      <alignment horizontal="center" wrapText="1"/>
    </xf>
    <xf numFmtId="0" fontId="7" fillId="0" borderId="95" xfId="0" applyFont="1" applyBorder="1" applyAlignment="1">
      <alignment horizontal="center"/>
    </xf>
    <xf numFmtId="1" fontId="12" fillId="0" borderId="165" xfId="0" applyNumberFormat="1" applyFont="1" applyBorder="1" applyAlignment="1">
      <alignment horizontal="center" wrapText="1"/>
    </xf>
    <xf numFmtId="0" fontId="5" fillId="3" borderId="185" xfId="0" applyFont="1" applyFill="1" applyBorder="1" applyAlignment="1" applyProtection="1">
      <alignment horizontal="center" vertical="center"/>
      <protection locked="0"/>
    </xf>
    <xf numFmtId="0" fontId="7" fillId="0" borderId="97" xfId="0" applyFont="1" applyBorder="1" applyProtection="1">
      <protection locked="0"/>
    </xf>
    <xf numFmtId="0" fontId="5" fillId="3" borderId="165" xfId="0" applyFont="1" applyFill="1" applyBorder="1" applyAlignment="1" applyProtection="1">
      <alignment horizontal="center" vertical="center"/>
      <protection locked="0"/>
    </xf>
    <xf numFmtId="0" fontId="16" fillId="3" borderId="156" xfId="0" applyFont="1" applyFill="1" applyBorder="1" applyAlignment="1">
      <alignment horizontal="right" vertical="center"/>
    </xf>
    <xf numFmtId="0" fontId="7" fillId="0" borderId="95" xfId="0" applyFont="1" applyBorder="1"/>
    <xf numFmtId="0" fontId="16" fillId="0" borderId="222" xfId="0" applyFont="1" applyBorder="1" applyAlignment="1">
      <alignment vertical="center"/>
    </xf>
    <xf numFmtId="49" fontId="5" fillId="0" borderId="103" xfId="0" applyNumberFormat="1" applyFont="1" applyBorder="1" applyAlignment="1" applyProtection="1">
      <alignment horizontal="center" vertical="center" wrapText="1"/>
      <protection locked="0"/>
    </xf>
    <xf numFmtId="0" fontId="7" fillId="0" borderId="167" xfId="0" applyFont="1" applyBorder="1" applyProtection="1">
      <protection locked="0"/>
    </xf>
    <xf numFmtId="0" fontId="7" fillId="0" borderId="98" xfId="0" applyFont="1" applyBorder="1" applyAlignment="1">
      <alignment horizontal="center"/>
    </xf>
    <xf numFmtId="0" fontId="30" fillId="21" borderId="71" xfId="0" applyFont="1" applyFill="1" applyBorder="1" applyAlignment="1">
      <alignment horizontal="left" vertical="center" wrapText="1"/>
    </xf>
    <xf numFmtId="0" fontId="7" fillId="20" borderId="4" xfId="0" applyFont="1" applyFill="1" applyBorder="1"/>
    <xf numFmtId="0" fontId="7" fillId="20" borderId="6" xfId="0" applyFont="1" applyFill="1" applyBorder="1"/>
    <xf numFmtId="0" fontId="7" fillId="20" borderId="77" xfId="0" applyFont="1" applyFill="1" applyBorder="1"/>
    <xf numFmtId="0" fontId="7" fillId="20" borderId="48" xfId="0" applyFont="1" applyFill="1" applyBorder="1"/>
    <xf numFmtId="0" fontId="7" fillId="20" borderId="49" xfId="0" applyFont="1" applyFill="1" applyBorder="1"/>
    <xf numFmtId="0" fontId="16" fillId="0" borderId="17" xfId="0" applyFont="1" applyBorder="1" applyAlignment="1">
      <alignment horizontal="left" vertical="center" wrapText="1"/>
    </xf>
    <xf numFmtId="0" fontId="5" fillId="0" borderId="199" xfId="0" applyFont="1" applyFill="1" applyBorder="1" applyAlignment="1">
      <alignment horizontal="left" wrapText="1"/>
    </xf>
    <xf numFmtId="0" fontId="7" fillId="0" borderId="151" xfId="0" applyFont="1" applyFill="1" applyBorder="1" applyAlignment="1"/>
    <xf numFmtId="0" fontId="7" fillId="0" borderId="113" xfId="0" applyFont="1" applyBorder="1" applyProtection="1">
      <protection locked="0"/>
    </xf>
    <xf numFmtId="0" fontId="7" fillId="0" borderId="220" xfId="0" applyFont="1" applyBorder="1" applyProtection="1">
      <protection locked="0"/>
    </xf>
    <xf numFmtId="0" fontId="16" fillId="0" borderId="28" xfId="0" applyFont="1" applyBorder="1" applyAlignment="1">
      <alignment horizontal="left" vertical="center"/>
    </xf>
    <xf numFmtId="0" fontId="7" fillId="0" borderId="9" xfId="0" applyFont="1" applyBorder="1" applyAlignment="1">
      <alignment vertical="center"/>
    </xf>
    <xf numFmtId="0" fontId="16" fillId="3" borderId="40" xfId="0" applyFont="1" applyFill="1" applyBorder="1" applyAlignment="1">
      <alignment vertical="center" wrapText="1"/>
    </xf>
    <xf numFmtId="0" fontId="16" fillId="0" borderId="88" xfId="0" applyFont="1" applyBorder="1" applyAlignment="1">
      <alignment vertical="center"/>
    </xf>
    <xf numFmtId="0" fontId="16" fillId="0" borderId="54" xfId="0" applyFont="1" applyBorder="1" applyAlignment="1">
      <alignment vertical="center" wrapText="1"/>
    </xf>
    <xf numFmtId="0" fontId="7" fillId="0" borderId="56" xfId="0" applyFont="1" applyBorder="1" applyAlignment="1">
      <alignment vertical="center"/>
    </xf>
    <xf numFmtId="0" fontId="16" fillId="0" borderId="130" xfId="0" applyFont="1" applyBorder="1" applyAlignment="1">
      <alignment vertical="center"/>
    </xf>
    <xf numFmtId="0" fontId="16" fillId="0" borderId="187" xfId="0" applyFont="1" applyBorder="1" applyAlignment="1">
      <alignment vertical="center" wrapText="1"/>
    </xf>
    <xf numFmtId="0" fontId="7" fillId="0" borderId="188" xfId="0" applyFont="1" applyBorder="1" applyAlignment="1">
      <alignment vertical="center"/>
    </xf>
    <xf numFmtId="0" fontId="7" fillId="11" borderId="34" xfId="0" applyFont="1" applyFill="1" applyBorder="1" applyAlignment="1">
      <alignment vertical="center"/>
    </xf>
    <xf numFmtId="0" fontId="40" fillId="21" borderId="2" xfId="0" applyFont="1" applyFill="1" applyBorder="1" applyAlignment="1">
      <alignment horizontal="left" vertical="center"/>
    </xf>
    <xf numFmtId="0" fontId="44" fillId="20" borderId="47" xfId="0" applyFont="1" applyFill="1" applyBorder="1"/>
    <xf numFmtId="0" fontId="5" fillId="0" borderId="199" xfId="0" applyFont="1" applyBorder="1" applyAlignment="1">
      <alignment horizontal="left" vertical="center" wrapText="1"/>
    </xf>
    <xf numFmtId="0" fontId="7" fillId="0" borderId="151" xfId="0" applyFont="1" applyBorder="1" applyAlignment="1">
      <alignment vertical="center"/>
    </xf>
    <xf numFmtId="0" fontId="5" fillId="14" borderId="25" xfId="0" applyFont="1" applyFill="1" applyBorder="1" applyAlignment="1">
      <alignment horizontal="left" vertical="center" wrapText="1"/>
    </xf>
    <xf numFmtId="0" fontId="16" fillId="0" borderId="87" xfId="0" applyFont="1" applyBorder="1" applyAlignment="1">
      <alignment vertical="center" wrapText="1"/>
    </xf>
    <xf numFmtId="0" fontId="5" fillId="0" borderId="59" xfId="0" applyFont="1" applyBorder="1" applyAlignment="1">
      <alignment vertical="center" wrapText="1"/>
    </xf>
    <xf numFmtId="0" fontId="16" fillId="0" borderId="59" xfId="0" applyFont="1" applyFill="1" applyBorder="1" applyAlignment="1" applyProtection="1">
      <alignment horizontal="left" vertical="center" wrapText="1"/>
      <protection locked="0"/>
    </xf>
    <xf numFmtId="0" fontId="7" fillId="0" borderId="66" xfId="0" applyFont="1" applyFill="1" applyBorder="1" applyProtection="1">
      <protection locked="0"/>
    </xf>
    <xf numFmtId="0" fontId="7" fillId="0" borderId="61" xfId="0" applyFont="1" applyFill="1" applyBorder="1" applyProtection="1">
      <protection locked="0"/>
    </xf>
    <xf numFmtId="0" fontId="12" fillId="6" borderId="50" xfId="0" applyFont="1" applyFill="1" applyBorder="1" applyAlignment="1">
      <alignment horizontal="left" vertical="center"/>
    </xf>
    <xf numFmtId="0" fontId="7" fillId="0" borderId="32" xfId="0" applyFont="1" applyBorder="1"/>
    <xf numFmtId="0" fontId="7" fillId="0" borderId="189" xfId="0" applyFont="1" applyBorder="1"/>
    <xf numFmtId="0" fontId="16" fillId="0" borderId="187" xfId="0" applyFont="1" applyBorder="1" applyAlignment="1">
      <alignment horizontal="left" vertical="center" wrapText="1"/>
    </xf>
    <xf numFmtId="0" fontId="16" fillId="14" borderId="152" xfId="0" applyFont="1" applyFill="1" applyBorder="1" applyAlignment="1">
      <alignment horizontal="left" vertical="center" wrapText="1"/>
    </xf>
    <xf numFmtId="0" fontId="7" fillId="11" borderId="190" xfId="0" applyFont="1" applyFill="1" applyBorder="1" applyAlignment="1">
      <alignment vertical="center"/>
    </xf>
    <xf numFmtId="0" fontId="7" fillId="11" borderId="191" xfId="0" applyFont="1" applyFill="1" applyBorder="1" applyAlignment="1">
      <alignment vertical="center"/>
    </xf>
    <xf numFmtId="0" fontId="7" fillId="0" borderId="66" xfId="0" applyFont="1" applyBorder="1" applyAlignment="1">
      <alignment horizontal="left"/>
    </xf>
    <xf numFmtId="0" fontId="16" fillId="3" borderId="153" xfId="0" applyFont="1" applyFill="1" applyBorder="1" applyAlignment="1" applyProtection="1">
      <alignment horizontal="left" vertical="center" wrapText="1"/>
      <protection locked="0"/>
    </xf>
    <xf numFmtId="0" fontId="16" fillId="0" borderId="27" xfId="0" applyFont="1" applyBorder="1" applyAlignment="1">
      <alignment vertical="center" wrapText="1"/>
    </xf>
    <xf numFmtId="0" fontId="16" fillId="0" borderId="153" xfId="0" applyFont="1" applyFill="1" applyBorder="1" applyAlignment="1" applyProtection="1">
      <alignment horizontal="left" vertical="center" wrapText="1"/>
      <protection locked="0"/>
    </xf>
    <xf numFmtId="0" fontId="7" fillId="0" borderId="201" xfId="0" applyFont="1" applyFill="1" applyBorder="1" applyProtection="1">
      <protection locked="0"/>
    </xf>
    <xf numFmtId="0" fontId="16" fillId="0" borderId="207" xfId="0" applyFont="1" applyBorder="1" applyAlignment="1">
      <alignment vertical="center" wrapText="1"/>
    </xf>
    <xf numFmtId="0" fontId="16" fillId="0" borderId="59" xfId="0" applyFont="1" applyFill="1" applyBorder="1" applyAlignment="1" applyProtection="1">
      <alignment horizontal="center" vertical="center" wrapText="1"/>
      <protection locked="0"/>
    </xf>
    <xf numFmtId="0" fontId="16" fillId="0" borderId="238" xfId="0" applyFont="1" applyFill="1" applyBorder="1" applyAlignment="1" applyProtection="1">
      <alignment horizontal="center" vertical="center" wrapText="1"/>
      <protection locked="0"/>
    </xf>
    <xf numFmtId="0" fontId="16" fillId="0" borderId="65" xfId="0" applyFont="1" applyFill="1" applyBorder="1" applyAlignment="1" applyProtection="1">
      <alignment horizontal="center" vertical="center" wrapText="1"/>
      <protection locked="0"/>
    </xf>
    <xf numFmtId="0" fontId="7" fillId="0" borderId="59" xfId="0" applyFont="1" applyFill="1" applyBorder="1" applyAlignment="1" applyProtection="1">
      <alignment horizontal="center" wrapText="1"/>
      <protection locked="0"/>
    </xf>
    <xf numFmtId="0" fontId="7" fillId="0" borderId="65" xfId="0" applyFont="1" applyFill="1" applyBorder="1" applyAlignment="1" applyProtection="1">
      <alignment horizontal="center" wrapText="1"/>
      <protection locked="0"/>
    </xf>
    <xf numFmtId="0" fontId="21" fillId="0" borderId="123" xfId="0" applyFont="1" applyBorder="1" applyAlignment="1">
      <alignment horizontal="left" vertical="center" wrapText="1"/>
    </xf>
    <xf numFmtId="49" fontId="5" fillId="0" borderId="238" xfId="0" applyNumberFormat="1" applyFont="1" applyBorder="1" applyAlignment="1" applyProtection="1">
      <alignment horizontal="center" vertical="center" wrapText="1"/>
      <protection locked="0"/>
    </xf>
    <xf numFmtId="1" fontId="12" fillId="4" borderId="194" xfId="0" applyNumberFormat="1" applyFont="1" applyFill="1" applyBorder="1" applyAlignment="1">
      <alignment horizontal="center" vertical="center" wrapText="1"/>
    </xf>
    <xf numFmtId="0" fontId="7" fillId="0" borderId="119" xfId="0" applyFont="1" applyBorder="1" applyAlignment="1">
      <alignment horizontal="center" vertical="center"/>
    </xf>
    <xf numFmtId="0" fontId="5" fillId="0" borderId="128" xfId="0" applyFont="1" applyBorder="1" applyAlignment="1">
      <alignment horizontal="left" vertical="center" wrapText="1"/>
    </xf>
    <xf numFmtId="0" fontId="16" fillId="0" borderId="74" xfId="0" applyFont="1" applyFill="1" applyBorder="1" applyAlignment="1" applyProtection="1">
      <alignment horizontal="left" vertical="center" wrapText="1"/>
      <protection locked="0"/>
    </xf>
    <xf numFmtId="0" fontId="16" fillId="0" borderId="42" xfId="0" applyFont="1" applyBorder="1" applyAlignment="1">
      <alignment horizontal="left" vertical="center" wrapText="1"/>
    </xf>
    <xf numFmtId="0" fontId="16" fillId="0" borderId="151" xfId="0" applyFont="1" applyBorder="1" applyAlignment="1">
      <alignment horizontal="left" vertical="center" wrapText="1"/>
    </xf>
    <xf numFmtId="0" fontId="16" fillId="0" borderId="219" xfId="0" applyFont="1" applyBorder="1" applyAlignment="1" applyProtection="1">
      <alignment horizontal="left" vertical="center"/>
      <protection locked="0"/>
    </xf>
    <xf numFmtId="0" fontId="16" fillId="0" borderId="193" xfId="0" applyFont="1" applyBorder="1" applyAlignment="1" applyProtection="1">
      <alignment horizontal="left" vertical="center"/>
      <protection locked="0"/>
    </xf>
    <xf numFmtId="0" fontId="5" fillId="0" borderId="130" xfId="0" applyFont="1" applyBorder="1" applyAlignment="1">
      <alignment horizontal="left" vertical="center" wrapText="1"/>
    </xf>
    <xf numFmtId="0" fontId="5" fillId="0" borderId="74" xfId="0" applyFont="1" applyBorder="1" applyAlignment="1">
      <alignment horizontal="center" vertical="center" wrapText="1"/>
    </xf>
    <xf numFmtId="0" fontId="5" fillId="0" borderId="123" xfId="0" applyFont="1" applyBorder="1" applyAlignment="1">
      <alignment horizontal="left" vertical="center" wrapText="1"/>
    </xf>
    <xf numFmtId="0" fontId="5" fillId="0" borderId="138" xfId="0" applyFont="1" applyBorder="1" applyAlignment="1">
      <alignment horizontal="left" vertical="center" wrapText="1"/>
    </xf>
    <xf numFmtId="0" fontId="5" fillId="14" borderId="24" xfId="0" applyFont="1" applyFill="1" applyBorder="1" applyAlignment="1">
      <alignment horizontal="left" vertical="center" wrapText="1"/>
    </xf>
    <xf numFmtId="0" fontId="7" fillId="9" borderId="168" xfId="0" applyFont="1" applyFill="1" applyBorder="1" applyAlignment="1" applyProtection="1">
      <alignment horizontal="center"/>
      <protection locked="0"/>
    </xf>
    <xf numFmtId="0" fontId="7" fillId="9" borderId="83" xfId="0" applyFont="1" applyFill="1" applyBorder="1" applyAlignment="1" applyProtection="1">
      <alignment horizontal="center"/>
      <protection locked="0"/>
    </xf>
    <xf numFmtId="0" fontId="7" fillId="0" borderId="168" xfId="0" applyFont="1" applyBorder="1" applyAlignment="1" applyProtection="1">
      <alignment horizontal="center"/>
      <protection locked="0"/>
    </xf>
    <xf numFmtId="0" fontId="7" fillId="0" borderId="83" xfId="0" applyFont="1" applyBorder="1" applyAlignment="1" applyProtection="1">
      <alignment horizontal="center"/>
      <protection locked="0"/>
    </xf>
    <xf numFmtId="0" fontId="7" fillId="0" borderId="165" xfId="0" applyFont="1" applyBorder="1" applyAlignment="1" applyProtection="1">
      <alignment horizontal="center"/>
      <protection locked="0"/>
    </xf>
    <xf numFmtId="0" fontId="7" fillId="0" borderId="85" xfId="0" applyFont="1" applyBorder="1" applyAlignment="1" applyProtection="1">
      <alignment horizontal="center"/>
      <protection locked="0"/>
    </xf>
    <xf numFmtId="0" fontId="7" fillId="0" borderId="62" xfId="0" applyFont="1" applyBorder="1" applyProtection="1">
      <protection locked="0"/>
    </xf>
    <xf numFmtId="0" fontId="2" fillId="9" borderId="156" xfId="0" applyFont="1" applyFill="1" applyBorder="1" applyAlignment="1">
      <alignment horizontal="center" vertical="center"/>
    </xf>
    <xf numFmtId="0" fontId="2" fillId="9" borderId="82" xfId="0" applyFont="1" applyFill="1" applyBorder="1" applyAlignment="1">
      <alignment horizontal="center" vertical="center"/>
    </xf>
    <xf numFmtId="0" fontId="5" fillId="4" borderId="183" xfId="0" applyFont="1" applyFill="1" applyBorder="1" applyAlignment="1" applyProtection="1">
      <alignment horizontal="center" vertical="center"/>
      <protection locked="0"/>
    </xf>
    <xf numFmtId="0" fontId="7" fillId="0" borderId="120" xfId="0" applyFont="1" applyBorder="1" applyProtection="1">
      <protection locked="0"/>
    </xf>
    <xf numFmtId="0" fontId="5" fillId="3" borderId="183" xfId="0" applyFont="1" applyFill="1" applyBorder="1" applyAlignment="1" applyProtection="1">
      <alignment horizontal="center" vertical="center"/>
      <protection locked="0"/>
    </xf>
    <xf numFmtId="0" fontId="19" fillId="0" borderId="177" xfId="0" applyFont="1" applyBorder="1" applyAlignment="1" applyProtection="1">
      <alignment horizontal="left" vertical="top"/>
      <protection locked="0"/>
    </xf>
    <xf numFmtId="1" fontId="12" fillId="0" borderId="200" xfId="0" applyNumberFormat="1" applyFont="1" applyBorder="1" applyAlignment="1">
      <alignment horizontal="center" vertical="center"/>
    </xf>
    <xf numFmtId="0" fontId="7" fillId="0" borderId="122" xfId="0" applyFont="1" applyBorder="1" applyAlignment="1">
      <alignment horizontal="center" vertical="center"/>
    </xf>
    <xf numFmtId="0" fontId="7" fillId="11" borderId="181" xfId="0" applyFont="1" applyFill="1" applyBorder="1"/>
    <xf numFmtId="1" fontId="5" fillId="4" borderId="182" xfId="0" applyNumberFormat="1" applyFont="1" applyFill="1" applyBorder="1" applyAlignment="1" applyProtection="1">
      <alignment horizontal="center" vertical="center"/>
      <protection locked="0"/>
    </xf>
    <xf numFmtId="0" fontId="7" fillId="0" borderId="119" xfId="0" applyFont="1" applyBorder="1" applyProtection="1">
      <protection locked="0"/>
    </xf>
    <xf numFmtId="0" fontId="5" fillId="3" borderId="184" xfId="0" applyFont="1" applyFill="1" applyBorder="1" applyAlignment="1" applyProtection="1">
      <alignment horizontal="center" vertical="center"/>
      <protection locked="0"/>
    </xf>
    <xf numFmtId="0" fontId="7" fillId="0" borderId="122" xfId="0" applyFont="1" applyBorder="1" applyProtection="1">
      <protection locked="0"/>
    </xf>
    <xf numFmtId="0" fontId="7" fillId="9" borderId="156" xfId="0" applyFont="1" applyFill="1" applyBorder="1" applyAlignment="1" applyProtection="1">
      <alignment horizontal="center"/>
      <protection locked="0"/>
    </xf>
    <xf numFmtId="0" fontId="7" fillId="9" borderId="82" xfId="0" applyFont="1" applyFill="1" applyBorder="1" applyAlignment="1" applyProtection="1">
      <alignment horizontal="center"/>
      <protection locked="0"/>
    </xf>
    <xf numFmtId="0" fontId="21" fillId="0" borderId="110" xfId="0" applyFont="1" applyBorder="1" applyAlignment="1">
      <alignment horizontal="left" vertical="center" wrapText="1"/>
    </xf>
    <xf numFmtId="0" fontId="21" fillId="0" borderId="193" xfId="0" applyFont="1" applyBorder="1" applyAlignment="1">
      <alignment horizontal="left" vertical="center" wrapText="1"/>
    </xf>
    <xf numFmtId="0" fontId="16" fillId="0" borderId="8" xfId="0" applyFont="1" applyBorder="1" applyAlignment="1" applyProtection="1">
      <alignment horizontal="left" vertical="center" wrapText="1"/>
      <protection locked="0"/>
    </xf>
    <xf numFmtId="0" fontId="58" fillId="0" borderId="139" xfId="0" applyFont="1" applyBorder="1" applyAlignment="1" applyProtection="1">
      <alignment horizontal="left" vertical="center" wrapText="1"/>
      <protection locked="0"/>
    </xf>
    <xf numFmtId="1" fontId="12" fillId="0" borderId="19" xfId="0" applyNumberFormat="1" applyFont="1" applyBorder="1" applyAlignment="1">
      <alignment horizontal="center" wrapText="1"/>
    </xf>
    <xf numFmtId="164" fontId="5" fillId="0" borderId="74" xfId="0" applyNumberFormat="1" applyFont="1" applyBorder="1" applyAlignment="1">
      <alignment horizontal="center" vertical="center"/>
    </xf>
    <xf numFmtId="0" fontId="50" fillId="0" borderId="17" xfId="0" applyFont="1" applyBorder="1" applyAlignment="1">
      <alignment vertical="center" wrapText="1"/>
    </xf>
    <xf numFmtId="0" fontId="2" fillId="0" borderId="165" xfId="0" applyFont="1" applyBorder="1" applyAlignment="1">
      <alignment horizontal="center" vertical="center"/>
    </xf>
    <xf numFmtId="0" fontId="2" fillId="0" borderId="85" xfId="0" applyFont="1" applyBorder="1" applyAlignment="1">
      <alignment horizontal="center" vertical="center"/>
    </xf>
    <xf numFmtId="0" fontId="21" fillId="0" borderId="199" xfId="0" applyFont="1" applyBorder="1" applyAlignment="1">
      <alignment horizontal="left" vertical="center" wrapText="1"/>
    </xf>
    <xf numFmtId="0" fontId="12" fillId="4" borderId="174" xfId="0" applyFont="1" applyFill="1" applyBorder="1" applyAlignment="1">
      <alignment horizontal="right" vertical="center"/>
    </xf>
    <xf numFmtId="0" fontId="3" fillId="0" borderId="44" xfId="0" applyFont="1" applyBorder="1"/>
    <xf numFmtId="0" fontId="3" fillId="0" borderId="175" xfId="0" applyFont="1" applyBorder="1"/>
    <xf numFmtId="0" fontId="16" fillId="0" borderId="165" xfId="0" applyFont="1" applyBorder="1" applyAlignment="1" applyProtection="1">
      <alignment vertical="center" wrapText="1"/>
      <protection locked="0"/>
    </xf>
    <xf numFmtId="0" fontId="16" fillId="0" borderId="66" xfId="0" applyFont="1" applyFill="1" applyBorder="1" applyAlignment="1" applyProtection="1">
      <alignment horizontal="left" vertical="center" wrapText="1"/>
      <protection locked="0"/>
    </xf>
    <xf numFmtId="0" fontId="40" fillId="21" borderId="71" xfId="0" applyFont="1" applyFill="1" applyBorder="1" applyAlignment="1">
      <alignment horizontal="left" vertical="center"/>
    </xf>
    <xf numFmtId="0" fontId="5" fillId="0" borderId="187" xfId="0" applyFont="1" applyBorder="1" applyAlignment="1">
      <alignment vertical="center" wrapText="1"/>
    </xf>
    <xf numFmtId="0" fontId="16" fillId="14" borderId="57" xfId="0" applyFont="1" applyFill="1" applyBorder="1" applyAlignment="1">
      <alignment horizontal="left" vertical="center" wrapText="1"/>
    </xf>
    <xf numFmtId="0" fontId="7" fillId="11" borderId="55" xfId="0" applyFont="1" applyFill="1" applyBorder="1" applyAlignment="1">
      <alignment vertical="center"/>
    </xf>
    <xf numFmtId="0" fontId="7" fillId="11" borderId="218" xfId="0" applyFont="1" applyFill="1" applyBorder="1" applyAlignment="1">
      <alignment vertical="center"/>
    </xf>
    <xf numFmtId="0" fontId="5" fillId="3" borderId="8" xfId="0" applyFont="1" applyFill="1" applyBorder="1" applyAlignment="1">
      <alignment vertical="center"/>
    </xf>
    <xf numFmtId="0" fontId="5" fillId="3" borderId="0" xfId="0" applyFont="1" applyFill="1" applyAlignment="1">
      <alignment horizontal="center"/>
    </xf>
    <xf numFmtId="0" fontId="65" fillId="0" borderId="123" xfId="0" applyFont="1" applyBorder="1" applyAlignment="1">
      <alignment horizontal="left" vertical="center" wrapText="1"/>
    </xf>
    <xf numFmtId="0" fontId="59" fillId="0" borderId="88" xfId="0" applyFont="1" applyBorder="1" applyAlignment="1">
      <alignment vertical="center"/>
    </xf>
    <xf numFmtId="0" fontId="65" fillId="0" borderId="128" xfId="0" applyFont="1" applyBorder="1" applyAlignment="1">
      <alignment horizontal="left" vertical="center" wrapText="1"/>
    </xf>
    <xf numFmtId="0" fontId="59" fillId="0" borderId="129" xfId="0" applyFont="1" applyBorder="1" applyAlignment="1">
      <alignment vertical="center"/>
    </xf>
    <xf numFmtId="0" fontId="21" fillId="0" borderId="133" xfId="0" applyFont="1" applyBorder="1" applyAlignment="1">
      <alignment horizontal="left" vertical="center" wrapText="1"/>
    </xf>
    <xf numFmtId="0" fontId="7" fillId="0" borderId="134" xfId="0" applyFont="1" applyBorder="1" applyAlignment="1">
      <alignment vertical="center"/>
    </xf>
    <xf numFmtId="0" fontId="56" fillId="7" borderId="59" xfId="0" applyFont="1" applyFill="1" applyBorder="1" applyAlignment="1" applyProtection="1">
      <alignment horizontal="left" vertical="center" wrapText="1"/>
      <protection locked="0"/>
    </xf>
    <xf numFmtId="0" fontId="61" fillId="7" borderId="66" xfId="0" applyFont="1" applyFill="1" applyBorder="1" applyProtection="1">
      <protection locked="0"/>
    </xf>
    <xf numFmtId="0" fontId="61" fillId="7" borderId="61" xfId="0" applyFont="1" applyFill="1" applyBorder="1" applyProtection="1">
      <protection locked="0"/>
    </xf>
    <xf numFmtId="0" fontId="65" fillId="0" borderId="17" xfId="0" applyFont="1" applyBorder="1" applyAlignment="1">
      <alignment horizontal="left" vertical="center" wrapText="1"/>
    </xf>
    <xf numFmtId="0" fontId="16" fillId="3" borderId="10" xfId="0" applyFont="1" applyFill="1" applyBorder="1" applyAlignment="1" applyProtection="1">
      <alignment horizontal="left" vertical="center" wrapText="1"/>
      <protection locked="0"/>
    </xf>
    <xf numFmtId="0" fontId="7" fillId="0" borderId="15" xfId="0" applyFont="1" applyBorder="1" applyAlignment="1" applyProtection="1">
      <alignment vertical="center"/>
      <protection locked="0"/>
    </xf>
    <xf numFmtId="0" fontId="4" fillId="0" borderId="0" xfId="0" applyFont="1" applyAlignment="1" applyProtection="1">
      <protection locked="0"/>
    </xf>
    <xf numFmtId="0" fontId="7" fillId="0" borderId="179" xfId="0" applyFont="1" applyBorder="1" applyProtection="1">
      <protection locked="0"/>
    </xf>
    <xf numFmtId="0" fontId="7" fillId="0" borderId="193" xfId="0" applyFont="1" applyBorder="1" applyProtection="1">
      <protection locked="0"/>
    </xf>
    <xf numFmtId="0" fontId="21" fillId="0" borderId="110" xfId="0" applyFont="1" applyBorder="1" applyAlignment="1">
      <alignment vertical="center" wrapText="1"/>
    </xf>
    <xf numFmtId="0" fontId="7" fillId="0" borderId="193" xfId="0" applyFont="1" applyBorder="1" applyAlignment="1">
      <alignment vertical="center"/>
    </xf>
    <xf numFmtId="0" fontId="21" fillId="0" borderId="27" xfId="0" applyFont="1" applyBorder="1" applyAlignment="1">
      <alignment vertical="center" wrapText="1"/>
    </xf>
    <xf numFmtId="0" fontId="21" fillId="0" borderId="67" xfId="0" applyFont="1" applyBorder="1" applyAlignment="1">
      <alignment horizontal="left" vertical="center"/>
    </xf>
    <xf numFmtId="0" fontId="56" fillId="11" borderId="219" xfId="0" applyFont="1" applyFill="1" applyBorder="1" applyAlignment="1">
      <alignment horizontal="left" vertical="top"/>
    </xf>
    <xf numFmtId="0" fontId="56" fillId="11" borderId="192" xfId="0" applyFont="1" applyFill="1" applyBorder="1" applyAlignment="1">
      <alignment horizontal="left" vertical="top"/>
    </xf>
    <xf numFmtId="0" fontId="56" fillId="11" borderId="193" xfId="0" applyFont="1" applyFill="1" applyBorder="1" applyAlignment="1">
      <alignment horizontal="left" vertical="top"/>
    </xf>
    <xf numFmtId="0" fontId="21" fillId="0" borderId="231" xfId="0" applyFont="1" applyBorder="1" applyAlignment="1" applyProtection="1">
      <alignment horizontal="left" vertical="center" wrapText="1"/>
      <protection locked="0"/>
    </xf>
    <xf numFmtId="0" fontId="21" fillId="0" borderId="136" xfId="0" applyFont="1" applyBorder="1" applyAlignment="1" applyProtection="1">
      <alignment horizontal="left" vertical="center" wrapText="1"/>
      <protection locked="0"/>
    </xf>
    <xf numFmtId="49" fontId="5" fillId="0" borderId="193" xfId="0" applyNumberFormat="1" applyFont="1" applyBorder="1" applyAlignment="1" applyProtection="1">
      <alignment horizontal="center" vertical="center" wrapText="1"/>
      <protection locked="0"/>
    </xf>
    <xf numFmtId="1" fontId="12" fillId="4" borderId="156" xfId="0" applyNumberFormat="1" applyFont="1" applyFill="1" applyBorder="1" applyAlignment="1">
      <alignment horizontal="center" vertical="center" wrapText="1"/>
    </xf>
    <xf numFmtId="1" fontId="12" fillId="4" borderId="82" xfId="0" applyNumberFormat="1" applyFont="1" applyFill="1" applyBorder="1" applyAlignment="1">
      <alignment horizontal="center" vertical="center" wrapText="1"/>
    </xf>
    <xf numFmtId="1" fontId="12" fillId="0" borderId="165" xfId="0" applyNumberFormat="1" applyFont="1" applyBorder="1" applyAlignment="1">
      <alignment horizontal="center" vertical="center" wrapText="1"/>
    </xf>
    <xf numFmtId="1" fontId="12" fillId="0" borderId="85" xfId="0" applyNumberFormat="1" applyFont="1" applyBorder="1" applyAlignment="1">
      <alignment horizontal="center" vertical="center" wrapText="1"/>
    </xf>
    <xf numFmtId="164" fontId="5" fillId="0" borderId="65" xfId="0" applyNumberFormat="1" applyFont="1" applyBorder="1" applyAlignment="1">
      <alignment horizontal="center" vertical="center"/>
    </xf>
    <xf numFmtId="0" fontId="21" fillId="0" borderId="185" xfId="0" applyFont="1" applyBorder="1" applyAlignment="1">
      <alignment horizontal="left" vertical="center" wrapText="1"/>
    </xf>
    <xf numFmtId="0" fontId="21" fillId="0" borderId="139" xfId="0" applyFont="1" applyBorder="1" applyAlignment="1">
      <alignment horizontal="left" vertical="center" wrapText="1"/>
    </xf>
    <xf numFmtId="0" fontId="65" fillId="0" borderId="206" xfId="0" applyFont="1" applyBorder="1" applyAlignment="1" applyProtection="1">
      <alignment horizontal="left" vertical="center"/>
      <protection locked="0"/>
    </xf>
    <xf numFmtId="0" fontId="21" fillId="0" borderId="88" xfId="0" applyFont="1" applyBorder="1" applyAlignment="1" applyProtection="1">
      <alignment horizontal="left" vertical="center"/>
      <protection locked="0"/>
    </xf>
    <xf numFmtId="0" fontId="21" fillId="0" borderId="206" xfId="0" applyFont="1" applyFill="1" applyBorder="1" applyAlignment="1" applyProtection="1">
      <alignment horizontal="left" vertical="center" wrapText="1"/>
      <protection locked="0"/>
    </xf>
    <xf numFmtId="0" fontId="21" fillId="0" borderId="88" xfId="0" applyFont="1" applyFill="1" applyBorder="1" applyAlignment="1" applyProtection="1">
      <alignment horizontal="left" vertical="center" wrapText="1"/>
      <protection locked="0"/>
    </xf>
    <xf numFmtId="0" fontId="65" fillId="0" borderId="8" xfId="0" applyFont="1" applyBorder="1" applyAlignment="1" applyProtection="1">
      <alignment horizontal="left" vertical="center" wrapText="1"/>
      <protection locked="0"/>
    </xf>
    <xf numFmtId="0" fontId="21" fillId="0" borderId="139" xfId="0" applyFont="1" applyBorder="1" applyAlignment="1" applyProtection="1">
      <alignment horizontal="left" vertical="center" wrapText="1"/>
      <protection locked="0"/>
    </xf>
    <xf numFmtId="0" fontId="56" fillId="11" borderId="117" xfId="0" applyFont="1" applyFill="1" applyBorder="1" applyAlignment="1">
      <alignment horizontal="left" vertical="top"/>
    </xf>
    <xf numFmtId="0" fontId="56" fillId="11" borderId="198" xfId="0" applyFont="1" applyFill="1" applyBorder="1" applyAlignment="1">
      <alignment horizontal="left" vertical="top"/>
    </xf>
    <xf numFmtId="0" fontId="56" fillId="11" borderId="68" xfId="0" applyFont="1" applyFill="1" applyBorder="1" applyAlignment="1">
      <alignment horizontal="left" vertical="top"/>
    </xf>
    <xf numFmtId="0" fontId="7" fillId="0" borderId="23" xfId="0" applyFont="1" applyBorder="1" applyProtection="1">
      <protection locked="0"/>
    </xf>
    <xf numFmtId="0" fontId="16" fillId="0" borderId="28" xfId="0" applyFont="1" applyBorder="1" applyAlignment="1">
      <alignment horizontal="center" vertical="center"/>
    </xf>
    <xf numFmtId="0" fontId="7" fillId="0" borderId="12" xfId="0" applyFont="1" applyBorder="1" applyAlignment="1">
      <alignment horizontal="center"/>
    </xf>
    <xf numFmtId="0" fontId="0" fillId="0" borderId="65" xfId="0" applyFont="1" applyBorder="1" applyAlignment="1">
      <alignment horizontal="center" vertical="center"/>
    </xf>
    <xf numFmtId="0" fontId="21" fillId="0" borderId="130" xfId="0" applyFont="1" applyBorder="1" applyAlignment="1">
      <alignment horizontal="left" vertical="center" wrapText="1"/>
    </xf>
    <xf numFmtId="0" fontId="5" fillId="3" borderId="10" xfId="0" applyFont="1" applyFill="1" applyBorder="1" applyAlignment="1" applyProtection="1">
      <alignment horizontal="center" vertical="center"/>
      <protection locked="0"/>
    </xf>
    <xf numFmtId="0" fontId="7" fillId="0" borderId="116" xfId="0" applyFont="1" applyBorder="1" applyProtection="1">
      <protection locked="0"/>
    </xf>
    <xf numFmtId="0" fontId="16" fillId="0" borderId="221" xfId="0" applyFont="1" applyBorder="1" applyAlignment="1">
      <alignment horizontal="left" vertical="center" wrapText="1"/>
    </xf>
    <xf numFmtId="0" fontId="58" fillId="0" borderId="222" xfId="0" applyFont="1" applyBorder="1" applyAlignment="1">
      <alignment horizontal="left" vertical="center" wrapText="1"/>
    </xf>
    <xf numFmtId="0" fontId="7" fillId="0" borderId="61" xfId="0" applyFont="1" applyBorder="1" applyAlignment="1">
      <alignment horizontal="left" vertical="center"/>
    </xf>
    <xf numFmtId="0" fontId="5" fillId="0" borderId="41" xfId="0" applyFont="1" applyBorder="1" applyAlignment="1">
      <alignment vertical="center" wrapText="1"/>
    </xf>
    <xf numFmtId="0" fontId="5" fillId="3" borderId="87" xfId="0" applyFont="1" applyFill="1" applyBorder="1" applyAlignment="1">
      <alignment horizontal="left" vertical="center"/>
    </xf>
    <xf numFmtId="0" fontId="5" fillId="3" borderId="8" xfId="0" applyFont="1" applyFill="1" applyBorder="1" applyAlignment="1">
      <alignment horizontal="left" vertical="center"/>
    </xf>
    <xf numFmtId="0" fontId="7" fillId="0" borderId="5" xfId="0" applyFont="1" applyBorder="1" applyAlignment="1">
      <alignment horizontal="left" vertical="center"/>
    </xf>
    <xf numFmtId="0" fontId="7" fillId="0" borderId="34" xfId="0" applyFont="1" applyBorder="1" applyAlignment="1">
      <alignment horizontal="left" vertical="center"/>
    </xf>
    <xf numFmtId="0" fontId="7" fillId="0" borderId="18" xfId="0" applyFont="1" applyFill="1" applyBorder="1" applyAlignment="1">
      <alignment horizontal="left" vertical="center"/>
    </xf>
    <xf numFmtId="0" fontId="7" fillId="0" borderId="29" xfId="0" applyFont="1" applyFill="1" applyBorder="1" applyAlignment="1">
      <alignment horizontal="left" vertical="center"/>
    </xf>
    <xf numFmtId="0" fontId="5" fillId="0" borderId="24" xfId="0" applyFont="1" applyBorder="1" applyAlignment="1">
      <alignment horizontal="center" wrapText="1"/>
    </xf>
    <xf numFmtId="0" fontId="7" fillId="0" borderId="34" xfId="0" applyFont="1" applyBorder="1" applyAlignment="1">
      <alignment horizontal="center"/>
    </xf>
    <xf numFmtId="0" fontId="5" fillId="0" borderId="28" xfId="0" applyFont="1" applyBorder="1" applyAlignment="1">
      <alignment horizontal="center" wrapText="1"/>
    </xf>
    <xf numFmtId="0" fontId="7" fillId="0" borderId="29"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7" fillId="0" borderId="15" xfId="0" applyFont="1" applyBorder="1" applyAlignment="1">
      <alignment horizontal="center"/>
    </xf>
    <xf numFmtId="0" fontId="7" fillId="0" borderId="66" xfId="0" applyFont="1" applyBorder="1" applyAlignment="1">
      <alignment horizontal="left" vertical="center"/>
    </xf>
    <xf numFmtId="0" fontId="1" fillId="0" borderId="242" xfId="0" applyFont="1" applyBorder="1" applyAlignment="1">
      <alignment horizontal="center" vertical="center" wrapText="1"/>
    </xf>
    <xf numFmtId="0" fontId="3" fillId="0" borderId="272" xfId="0" applyFont="1" applyBorder="1" applyAlignment="1">
      <alignment horizontal="center"/>
    </xf>
    <xf numFmtId="0" fontId="1" fillId="0" borderId="179" xfId="0" applyFont="1" applyBorder="1" applyAlignment="1">
      <alignment horizontal="center"/>
    </xf>
    <xf numFmtId="0" fontId="3" fillId="0" borderId="274" xfId="0" applyFont="1" applyBorder="1" applyAlignment="1">
      <alignment horizontal="center"/>
    </xf>
    <xf numFmtId="0" fontId="3" fillId="0" borderId="276" xfId="0" applyFont="1" applyBorder="1" applyAlignment="1">
      <alignment horizontal="center"/>
    </xf>
    <xf numFmtId="0" fontId="3" fillId="0" borderId="277" xfId="0" applyFont="1" applyBorder="1" applyAlignment="1">
      <alignment horizontal="center"/>
    </xf>
    <xf numFmtId="0" fontId="13" fillId="12" borderId="47" xfId="0" applyFont="1" applyFill="1" applyBorder="1" applyAlignment="1">
      <alignment horizontal="center" vertical="center"/>
    </xf>
    <xf numFmtId="0" fontId="6" fillId="11" borderId="181" xfId="0" applyFont="1" applyFill="1" applyBorder="1"/>
    <xf numFmtId="0" fontId="6" fillId="11" borderId="49" xfId="0" applyFont="1" applyFill="1" applyBorder="1"/>
    <xf numFmtId="0" fontId="39" fillId="21" borderId="50" xfId="0" applyFont="1" applyFill="1" applyBorder="1" applyAlignment="1">
      <alignment horizontal="left" vertical="center"/>
    </xf>
    <xf numFmtId="0" fontId="46" fillId="20" borderId="32" xfId="0" applyFont="1" applyFill="1" applyBorder="1"/>
    <xf numFmtId="0" fontId="46" fillId="20" borderId="33" xfId="0" applyFont="1" applyFill="1" applyBorder="1"/>
    <xf numFmtId="0" fontId="12" fillId="12" borderId="31" xfId="0" applyFont="1" applyFill="1" applyBorder="1" applyAlignment="1">
      <alignment horizontal="center"/>
    </xf>
    <xf numFmtId="0" fontId="6" fillId="11" borderId="33" xfId="0" applyFont="1" applyFill="1" applyBorder="1" applyAlignment="1">
      <alignment horizontal="center"/>
    </xf>
    <xf numFmtId="0" fontId="1" fillId="0" borderId="271" xfId="0" applyFont="1" applyBorder="1" applyAlignment="1">
      <alignment horizontal="center" vertical="center"/>
    </xf>
    <xf numFmtId="0" fontId="1" fillId="0" borderId="242" xfId="0" applyFont="1" applyBorder="1" applyAlignment="1">
      <alignment horizontal="center" vertical="center"/>
    </xf>
    <xf numFmtId="0" fontId="1" fillId="0" borderId="273" xfId="0" applyFont="1" applyBorder="1" applyAlignment="1">
      <alignment horizontal="center" vertical="center"/>
    </xf>
    <xf numFmtId="0" fontId="1" fillId="0" borderId="179" xfId="0" applyFont="1" applyBorder="1" applyAlignment="1">
      <alignment horizontal="center" vertical="center"/>
    </xf>
    <xf numFmtId="0" fontId="1" fillId="0" borderId="275" xfId="0" applyFont="1" applyBorder="1" applyAlignment="1">
      <alignment horizontal="center" vertical="center"/>
    </xf>
    <xf numFmtId="0" fontId="1" fillId="0" borderId="276" xfId="0" applyFont="1" applyBorder="1" applyAlignment="1">
      <alignment horizontal="center" vertical="center"/>
    </xf>
    <xf numFmtId="0" fontId="5" fillId="4" borderId="59" xfId="0" applyFont="1" applyFill="1" applyBorder="1" applyAlignment="1" applyProtection="1">
      <alignment horizontal="center" vertical="center"/>
      <protection locked="0"/>
    </xf>
    <xf numFmtId="0" fontId="5" fillId="0" borderId="60" xfId="0" applyFont="1" applyBorder="1" applyAlignment="1">
      <alignment horizontal="left" vertical="center" wrapText="1"/>
    </xf>
    <xf numFmtId="0" fontId="7" fillId="0" borderId="62" xfId="0" applyFont="1" applyBorder="1"/>
    <xf numFmtId="0" fontId="7" fillId="0" borderId="18" xfId="0" applyFont="1" applyBorder="1" applyAlignment="1">
      <alignment horizontal="left" vertical="center"/>
    </xf>
    <xf numFmtId="0" fontId="7" fillId="0" borderId="29" xfId="0" applyFont="1" applyBorder="1" applyAlignment="1">
      <alignment horizontal="left" vertical="center"/>
    </xf>
    <xf numFmtId="0" fontId="7" fillId="0" borderId="27" xfId="0" applyFont="1" applyBorder="1" applyAlignment="1">
      <alignment horizontal="left" vertical="center"/>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5" fillId="0" borderId="54" xfId="0" applyFont="1" applyBorder="1" applyAlignment="1">
      <alignment horizontal="left" vertical="center" wrapText="1"/>
    </xf>
    <xf numFmtId="0" fontId="7" fillId="0" borderId="55" xfId="0" applyFont="1" applyBorder="1" applyAlignment="1">
      <alignment horizontal="left" vertical="center"/>
    </xf>
    <xf numFmtId="0" fontId="7" fillId="0" borderId="56" xfId="0" applyFont="1" applyBorder="1" applyAlignment="1">
      <alignment horizontal="left" vertical="center"/>
    </xf>
    <xf numFmtId="0" fontId="5" fillId="0" borderId="57" xfId="0" applyFont="1" applyBorder="1" applyAlignment="1">
      <alignment horizontal="center" wrapText="1"/>
    </xf>
    <xf numFmtId="0" fontId="7" fillId="0" borderId="56" xfId="0" applyFont="1" applyBorder="1" applyAlignment="1">
      <alignment horizontal="center"/>
    </xf>
    <xf numFmtId="0" fontId="7" fillId="0" borderId="27" xfId="0" applyFont="1" applyFill="1" applyBorder="1" applyAlignment="1">
      <alignment horizontal="left" vertical="center"/>
    </xf>
    <xf numFmtId="0" fontId="7" fillId="0" borderId="14" xfId="0" applyFont="1" applyFill="1" applyBorder="1" applyAlignment="1">
      <alignment horizontal="left" vertical="center"/>
    </xf>
    <xf numFmtId="0" fontId="7" fillId="0" borderId="15" xfId="0" applyFont="1" applyFill="1" applyBorder="1" applyAlignment="1">
      <alignment horizontal="left" vertical="center"/>
    </xf>
    <xf numFmtId="0" fontId="16" fillId="0" borderId="5" xfId="0" applyFont="1" applyBorder="1" applyAlignment="1">
      <alignment horizontal="left" vertical="center"/>
    </xf>
    <xf numFmtId="0" fontId="16" fillId="0" borderId="34" xfId="0" applyFont="1" applyBorder="1" applyAlignment="1">
      <alignment horizontal="left" vertical="center"/>
    </xf>
    <xf numFmtId="1" fontId="12" fillId="0" borderId="199" xfId="0" applyNumberFormat="1" applyFont="1" applyBorder="1" applyAlignment="1">
      <alignment horizontal="center" vertical="center"/>
    </xf>
    <xf numFmtId="0" fontId="0" fillId="0" borderId="179" xfId="0" applyFont="1" applyBorder="1" applyAlignment="1"/>
    <xf numFmtId="0" fontId="6" fillId="0" borderId="210" xfId="0" applyFont="1" applyBorder="1"/>
    <xf numFmtId="1" fontId="12" fillId="27" borderId="199" xfId="0" applyNumberFormat="1" applyFont="1" applyFill="1" applyBorder="1" applyAlignment="1">
      <alignment horizontal="center" vertical="center"/>
    </xf>
    <xf numFmtId="0" fontId="6" fillId="28" borderId="179" xfId="0" applyFont="1" applyFill="1" applyBorder="1"/>
    <xf numFmtId="0" fontId="6" fillId="28" borderId="210" xfId="0" applyFont="1" applyFill="1" applyBorder="1"/>
    <xf numFmtId="1" fontId="12" fillId="0" borderId="315" xfId="0" applyNumberFormat="1" applyFont="1" applyBorder="1" applyAlignment="1">
      <alignment horizontal="center" vertical="center"/>
    </xf>
    <xf numFmtId="0" fontId="0" fillId="0" borderId="276" xfId="0" applyFont="1" applyBorder="1" applyAlignment="1"/>
    <xf numFmtId="0" fontId="6" fillId="0" borderId="316" xfId="0" applyFont="1" applyBorder="1"/>
    <xf numFmtId="1" fontId="12" fillId="22" borderId="311" xfId="0" applyNumberFormat="1" applyFont="1" applyFill="1" applyBorder="1" applyAlignment="1">
      <alignment horizontal="center" vertical="center"/>
    </xf>
    <xf numFmtId="0" fontId="6" fillId="23" borderId="303" xfId="0" applyFont="1" applyFill="1" applyBorder="1"/>
    <xf numFmtId="0" fontId="6" fillId="23" borderId="308" xfId="0" applyFont="1" applyFill="1" applyBorder="1"/>
    <xf numFmtId="0" fontId="23" fillId="22" borderId="302" xfId="0" applyFont="1" applyFill="1" applyBorder="1" applyAlignment="1">
      <alignment horizontal="right"/>
    </xf>
    <xf numFmtId="0" fontId="5" fillId="0" borderId="94" xfId="0" applyFont="1" applyBorder="1" applyAlignment="1">
      <alignment horizontal="left" vertical="top" wrapText="1"/>
    </xf>
    <xf numFmtId="0" fontId="16" fillId="0" borderId="198" xfId="0" applyFont="1" applyBorder="1"/>
    <xf numFmtId="0" fontId="16" fillId="0" borderId="298" xfId="0" applyFont="1" applyBorder="1"/>
    <xf numFmtId="0" fontId="5" fillId="0" borderId="94" xfId="0" applyFont="1" applyBorder="1" applyAlignment="1">
      <alignment horizontal="left" vertical="center" wrapText="1"/>
    </xf>
    <xf numFmtId="0" fontId="16" fillId="0" borderId="198" xfId="0" applyFont="1" applyBorder="1" applyAlignment="1">
      <alignment vertical="center" wrapText="1"/>
    </xf>
    <xf numFmtId="0" fontId="5" fillId="0" borderId="198" xfId="0" applyFont="1" applyBorder="1" applyAlignment="1">
      <alignment vertical="center" wrapText="1"/>
    </xf>
    <xf numFmtId="0" fontId="12" fillId="0" borderId="300" xfId="0" applyFont="1" applyBorder="1" applyAlignment="1">
      <alignment vertical="center" wrapText="1"/>
    </xf>
    <xf numFmtId="0" fontId="16" fillId="0" borderId="300" xfId="0" applyFont="1" applyBorder="1"/>
    <xf numFmtId="0" fontId="16" fillId="0" borderId="301" xfId="0" applyFont="1" applyBorder="1"/>
    <xf numFmtId="0" fontId="23" fillId="22" borderId="302" xfId="0" applyFont="1" applyFill="1" applyBorder="1" applyAlignment="1">
      <alignment horizontal="left" wrapText="1"/>
    </xf>
    <xf numFmtId="0" fontId="12" fillId="22" borderId="303" xfId="0" applyFont="1" applyFill="1" applyBorder="1" applyAlignment="1">
      <alignment horizontal="center" vertical="center" wrapText="1"/>
    </xf>
    <xf numFmtId="0" fontId="12" fillId="0" borderId="313" xfId="0" applyFont="1" applyBorder="1" applyAlignment="1">
      <alignment horizontal="center" vertical="center"/>
    </xf>
    <xf numFmtId="0" fontId="6" fillId="0" borderId="242" xfId="0" applyFont="1" applyBorder="1"/>
    <xf numFmtId="0" fontId="6" fillId="0" borderId="287" xfId="0" applyFont="1" applyBorder="1"/>
    <xf numFmtId="0" fontId="5" fillId="0" borderId="110" xfId="0" applyFont="1" applyBorder="1" applyAlignment="1">
      <alignment horizontal="left" vertical="center" wrapText="1"/>
    </xf>
    <xf numFmtId="0" fontId="16" fillId="0" borderId="192" xfId="0" applyFont="1" applyBorder="1"/>
    <xf numFmtId="0" fontId="16" fillId="0" borderId="257" xfId="0" applyFont="1" applyBorder="1"/>
    <xf numFmtId="0" fontId="5" fillId="0" borderId="299" xfId="0" applyFont="1" applyBorder="1" applyAlignment="1">
      <alignment horizontal="left" vertical="center" wrapText="1"/>
    </xf>
    <xf numFmtId="0" fontId="49" fillId="10" borderId="271" xfId="1" applyFont="1" applyFill="1" applyBorder="1" applyAlignment="1">
      <alignment horizontal="center" vertical="center" wrapText="1"/>
    </xf>
    <xf numFmtId="0" fontId="48" fillId="11" borderId="242" xfId="0" applyFont="1" applyFill="1" applyBorder="1"/>
    <xf numFmtId="0" fontId="48" fillId="11" borderId="272" xfId="0" applyFont="1" applyFill="1" applyBorder="1"/>
    <xf numFmtId="0" fontId="1" fillId="10" borderId="275" xfId="0" applyFont="1" applyFill="1" applyBorder="1" applyAlignment="1">
      <alignment horizontal="center"/>
    </xf>
    <xf numFmtId="0" fontId="0" fillId="11" borderId="276" xfId="0" applyFont="1" applyFill="1" applyBorder="1" applyAlignment="1"/>
    <xf numFmtId="0" fontId="6" fillId="11" borderId="277" xfId="0" applyFont="1" applyFill="1" applyBorder="1"/>
    <xf numFmtId="0" fontId="12" fillId="0" borderId="247" xfId="0" applyFont="1" applyBorder="1" applyAlignment="1">
      <alignment horizontal="center" vertical="center"/>
    </xf>
    <xf numFmtId="0" fontId="6" fillId="0" borderId="179" xfId="0" applyFont="1" applyBorder="1"/>
    <xf numFmtId="0" fontId="6" fillId="0" borderId="248" xfId="0" applyFont="1" applyBorder="1"/>
    <xf numFmtId="0" fontId="22" fillId="21" borderId="302" xfId="0" applyFont="1" applyFill="1" applyBorder="1" applyAlignment="1">
      <alignment horizontal="left" vertical="center"/>
    </xf>
    <xf numFmtId="0" fontId="6" fillId="20" borderId="303" xfId="0" applyFont="1" applyFill="1" applyBorder="1"/>
    <xf numFmtId="0" fontId="6" fillId="20" borderId="304" xfId="0" applyFont="1" applyFill="1" applyBorder="1"/>
    <xf numFmtId="0" fontId="62" fillId="7" borderId="271" xfId="0" applyFont="1" applyFill="1" applyBorder="1" applyAlignment="1">
      <alignment horizontal="center" vertical="center" wrapText="1"/>
    </xf>
    <xf numFmtId="0" fontId="64" fillId="7" borderId="242" xfId="0" applyFont="1" applyFill="1" applyBorder="1"/>
    <xf numFmtId="0" fontId="64" fillId="7" borderId="272" xfId="0" applyFont="1" applyFill="1" applyBorder="1"/>
    <xf numFmtId="0" fontId="64" fillId="7" borderId="273" xfId="0" applyFont="1" applyFill="1" applyBorder="1"/>
    <xf numFmtId="0" fontId="64" fillId="7" borderId="179" xfId="0" applyFont="1" applyFill="1" applyBorder="1" applyAlignment="1"/>
    <xf numFmtId="0" fontId="64" fillId="7" borderId="274" xfId="0" applyFont="1" applyFill="1" applyBorder="1"/>
    <xf numFmtId="0" fontId="64" fillId="7" borderId="275" xfId="0" applyFont="1" applyFill="1" applyBorder="1"/>
    <xf numFmtId="0" fontId="64" fillId="7" borderId="276" xfId="0" applyFont="1" applyFill="1" applyBorder="1"/>
    <xf numFmtId="0" fontId="64" fillId="7" borderId="277" xfId="0" applyFont="1" applyFill="1" applyBorder="1"/>
    <xf numFmtId="0" fontId="8" fillId="3" borderId="271" xfId="0" applyFont="1" applyFill="1" applyBorder="1" applyAlignment="1" applyProtection="1">
      <alignment horizontal="left" vertical="top"/>
      <protection locked="0"/>
    </xf>
    <xf numFmtId="0" fontId="6" fillId="0" borderId="242" xfId="0" applyFont="1" applyBorder="1" applyProtection="1">
      <protection locked="0"/>
    </xf>
    <xf numFmtId="0" fontId="6" fillId="0" borderId="287" xfId="0" applyFont="1" applyBorder="1" applyProtection="1">
      <protection locked="0"/>
    </xf>
    <xf numFmtId="0" fontId="11" fillId="0" borderId="290" xfId="0" applyFont="1" applyBorder="1" applyAlignment="1" applyProtection="1">
      <alignment horizontal="left"/>
      <protection locked="0"/>
    </xf>
    <xf numFmtId="0" fontId="6" fillId="0" borderId="192" xfId="0" applyFont="1" applyBorder="1" applyProtection="1">
      <protection locked="0"/>
    </xf>
    <xf numFmtId="0" fontId="6" fillId="0" borderId="21" xfId="0" applyFont="1" applyBorder="1" applyProtection="1">
      <protection locked="0"/>
    </xf>
    <xf numFmtId="0" fontId="13" fillId="0" borderId="292" xfId="0" applyFont="1" applyBorder="1" applyAlignment="1" applyProtection="1">
      <alignment horizontal="left"/>
      <protection locked="0"/>
    </xf>
    <xf numFmtId="0" fontId="6" fillId="0" borderId="198" xfId="0" applyFont="1" applyBorder="1" applyProtection="1">
      <protection locked="0"/>
    </xf>
    <xf numFmtId="0" fontId="15" fillId="3" borderId="198" xfId="0" applyFont="1" applyFill="1" applyBorder="1" applyAlignment="1" applyProtection="1">
      <alignment horizontal="left"/>
      <protection locked="0"/>
    </xf>
    <xf numFmtId="0" fontId="6" fillId="0" borderId="7" xfId="0" applyFont="1" applyBorder="1" applyProtection="1">
      <protection locked="0"/>
    </xf>
    <xf numFmtId="0" fontId="11" fillId="0" borderId="294" xfId="0" applyFont="1" applyBorder="1" applyAlignment="1" applyProtection="1">
      <alignment horizontal="left"/>
      <protection locked="0"/>
    </xf>
    <xf numFmtId="0" fontId="6" fillId="0" borderId="196" xfId="0" applyFont="1" applyBorder="1" applyProtection="1">
      <protection locked="0"/>
    </xf>
    <xf numFmtId="0" fontId="6" fillId="0" borderId="295" xfId="0" applyFont="1" applyBorder="1" applyProtection="1">
      <protection locked="0"/>
    </xf>
    <xf numFmtId="0" fontId="19" fillId="0" borderId="273" xfId="0" applyFont="1" applyBorder="1" applyAlignment="1" applyProtection="1">
      <alignment horizontal="left" vertical="top"/>
      <protection locked="0"/>
    </xf>
    <xf numFmtId="0" fontId="0" fillId="0" borderId="179" xfId="0" applyFont="1" applyBorder="1" applyAlignment="1" applyProtection="1">
      <protection locked="0"/>
    </xf>
    <xf numFmtId="0" fontId="6" fillId="0" borderId="274" xfId="0" applyFont="1" applyBorder="1" applyProtection="1">
      <protection locked="0"/>
    </xf>
    <xf numFmtId="0" fontId="11" fillId="0" borderId="275" xfId="0" applyFont="1" applyBorder="1" applyAlignment="1" applyProtection="1">
      <alignment horizontal="left" vertical="top"/>
      <protection locked="0"/>
    </xf>
    <xf numFmtId="0" fontId="0" fillId="0" borderId="276" xfId="0" applyFont="1" applyBorder="1" applyAlignment="1" applyProtection="1">
      <protection locked="0"/>
    </xf>
    <xf numFmtId="0" fontId="6" fillId="0" borderId="277" xfId="0" applyFont="1" applyBorder="1" applyProtection="1">
      <protection locked="0"/>
    </xf>
    <xf numFmtId="0" fontId="20" fillId="21" borderId="296" xfId="0" applyFont="1" applyFill="1" applyBorder="1" applyAlignment="1">
      <alignment horizontal="left" vertical="center"/>
    </xf>
    <xf numFmtId="0" fontId="6" fillId="20" borderId="254" xfId="0" applyFont="1" applyFill="1" applyBorder="1"/>
    <xf numFmtId="0" fontId="6" fillId="20" borderId="297" xfId="0" applyFont="1" applyFill="1" applyBorder="1"/>
    <xf numFmtId="0" fontId="60" fillId="20" borderId="302" xfId="0" applyFont="1" applyFill="1" applyBorder="1" applyAlignment="1">
      <alignment horizontal="center" vertical="center"/>
    </xf>
    <xf numFmtId="0" fontId="60" fillId="20" borderId="303" xfId="0" applyFont="1" applyFill="1" applyBorder="1" applyAlignment="1">
      <alignment horizontal="center" vertical="center"/>
    </xf>
    <xf numFmtId="0" fontId="60" fillId="20" borderId="304" xfId="0" applyFont="1" applyFill="1" applyBorder="1" applyAlignment="1">
      <alignment horizontal="center" vertical="center"/>
    </xf>
    <xf numFmtId="0" fontId="16" fillId="0" borderId="10" xfId="0" applyFont="1" applyFill="1" applyBorder="1" applyAlignment="1" applyProtection="1">
      <alignment horizontal="left" vertical="center" wrapText="1"/>
      <protection locked="0"/>
    </xf>
    <xf numFmtId="0" fontId="7" fillId="0" borderId="10" xfId="0" applyFont="1" applyFill="1" applyBorder="1" applyProtection="1">
      <protection locked="0"/>
    </xf>
    <xf numFmtId="0" fontId="7" fillId="0" borderId="112" xfId="0" applyFont="1" applyBorder="1" applyAlignment="1">
      <alignment vertical="center"/>
    </xf>
    <xf numFmtId="0" fontId="7" fillId="0" borderId="49" xfId="0" applyFont="1" applyBorder="1" applyAlignment="1">
      <alignment vertical="center"/>
    </xf>
    <xf numFmtId="0" fontId="16" fillId="0" borderId="110" xfId="0" applyFont="1" applyBorder="1" applyAlignment="1">
      <alignment horizontal="left" vertical="center" wrapText="1"/>
    </xf>
    <xf numFmtId="0" fontId="7" fillId="0" borderId="22" xfId="0" applyFont="1" applyBorder="1" applyProtection="1">
      <protection locked="0"/>
    </xf>
    <xf numFmtId="0" fontId="21" fillId="3" borderId="87" xfId="0" applyFont="1" applyFill="1" applyBorder="1" applyAlignment="1">
      <alignment horizontal="left" vertical="center" wrapText="1"/>
    </xf>
    <xf numFmtId="0" fontId="7" fillId="0" borderId="88" xfId="0" applyFont="1" applyBorder="1" applyAlignment="1">
      <alignment vertical="center" wrapText="1"/>
    </xf>
    <xf numFmtId="0" fontId="5" fillId="13" borderId="3" xfId="0" applyFont="1" applyFill="1" applyBorder="1" applyAlignment="1">
      <alignment horizontal="left" vertical="center" wrapText="1"/>
    </xf>
    <xf numFmtId="0" fontId="7" fillId="11" borderId="5" xfId="0" applyFont="1" applyFill="1" applyBorder="1" applyAlignment="1">
      <alignment horizontal="left" vertical="center" wrapText="1"/>
    </xf>
    <xf numFmtId="0" fontId="7" fillId="11" borderId="34" xfId="0" applyFont="1" applyFill="1" applyBorder="1" applyAlignment="1">
      <alignment horizontal="left" vertical="center" wrapText="1"/>
    </xf>
    <xf numFmtId="0" fontId="5" fillId="13" borderId="24" xfId="0" applyFont="1" applyFill="1" applyBorder="1" applyAlignment="1">
      <alignment horizontal="center" wrapText="1"/>
    </xf>
    <xf numFmtId="0" fontId="7" fillId="11" borderId="34" xfId="0" applyFont="1" applyFill="1" applyBorder="1" applyAlignment="1">
      <alignment horizontal="center"/>
    </xf>
    <xf numFmtId="0" fontId="7" fillId="0" borderId="110" xfId="0" applyFont="1" applyBorder="1" applyProtection="1">
      <protection locked="0"/>
    </xf>
    <xf numFmtId="0" fontId="5" fillId="0" borderId="60" xfId="0" applyFont="1" applyBorder="1" applyAlignment="1">
      <alignment horizontal="left" vertical="center"/>
    </xf>
    <xf numFmtId="0" fontId="7" fillId="0" borderId="111" xfId="0" applyFont="1" applyBorder="1"/>
    <xf numFmtId="0" fontId="19" fillId="0" borderId="0" xfId="0" applyFont="1" applyAlignment="1">
      <alignment horizontal="left" vertical="top" wrapText="1"/>
    </xf>
    <xf numFmtId="0" fontId="13" fillId="12" borderId="31" xfId="0" applyFont="1" applyFill="1" applyBorder="1" applyAlignment="1">
      <alignment horizontal="center" vertical="center"/>
    </xf>
    <xf numFmtId="0" fontId="7" fillId="11" borderId="32" xfId="0" applyFont="1" applyFill="1" applyBorder="1"/>
    <xf numFmtId="0" fontId="7" fillId="11" borderId="33" xfId="0" applyFont="1" applyFill="1" applyBorder="1"/>
    <xf numFmtId="0" fontId="16" fillId="4" borderId="156" xfId="0" applyFont="1" applyFill="1" applyBorder="1" applyAlignment="1" applyProtection="1">
      <alignment horizontal="center" vertical="center"/>
      <protection locked="0"/>
    </xf>
    <xf numFmtId="0" fontId="16" fillId="4" borderId="82" xfId="0" applyFont="1" applyFill="1" applyBorder="1" applyAlignment="1" applyProtection="1">
      <alignment horizontal="center" vertical="center"/>
      <protection locked="0"/>
    </xf>
    <xf numFmtId="0" fontId="16" fillId="4" borderId="168" xfId="0" applyFont="1" applyFill="1" applyBorder="1" applyAlignment="1" applyProtection="1">
      <alignment horizontal="center" vertical="center"/>
      <protection locked="0"/>
    </xf>
    <xf numFmtId="0" fontId="16" fillId="4" borderId="83" xfId="0" applyFont="1" applyFill="1" applyBorder="1" applyAlignment="1" applyProtection="1">
      <alignment horizontal="center" vertical="center"/>
      <protection locked="0"/>
    </xf>
    <xf numFmtId="0" fontId="7" fillId="0" borderId="115" xfId="0" applyFont="1" applyBorder="1" applyProtection="1">
      <protection locked="0"/>
    </xf>
    <xf numFmtId="0" fontId="5" fillId="3" borderId="35" xfId="0" applyFont="1" applyFill="1" applyBorder="1" applyAlignment="1" applyProtection="1">
      <alignment horizontal="center" vertical="center"/>
      <protection locked="0"/>
    </xf>
    <xf numFmtId="0" fontId="21" fillId="0" borderId="199" xfId="0" applyFont="1" applyBorder="1" applyAlignment="1">
      <alignment vertical="center" wrapText="1"/>
    </xf>
    <xf numFmtId="0" fontId="16" fillId="0" borderId="29" xfId="0" applyFont="1" applyBorder="1" applyAlignment="1">
      <alignment vertical="center"/>
    </xf>
    <xf numFmtId="0" fontId="16" fillId="3" borderId="168" xfId="0" applyFont="1" applyFill="1" applyBorder="1" applyAlignment="1" applyProtection="1">
      <alignment horizontal="center" vertical="center"/>
      <protection locked="0"/>
    </xf>
    <xf numFmtId="0" fontId="16" fillId="3" borderId="83" xfId="0" applyFont="1" applyFill="1" applyBorder="1" applyAlignment="1" applyProtection="1">
      <alignment horizontal="center" vertical="center"/>
      <protection locked="0"/>
    </xf>
    <xf numFmtId="0" fontId="16" fillId="3" borderId="165" xfId="0" applyFont="1" applyFill="1" applyBorder="1" applyAlignment="1" applyProtection="1">
      <alignment horizontal="center" vertical="center"/>
      <protection locked="0"/>
    </xf>
    <xf numFmtId="0" fontId="16" fillId="3" borderId="85" xfId="0" applyFont="1" applyFill="1" applyBorder="1" applyAlignment="1" applyProtection="1">
      <alignment horizontal="center" vertical="center"/>
      <protection locked="0"/>
    </xf>
    <xf numFmtId="0" fontId="16" fillId="7" borderId="166" xfId="0" applyFont="1" applyFill="1" applyBorder="1" applyAlignment="1">
      <alignment horizontal="right" vertical="top"/>
    </xf>
    <xf numFmtId="0" fontId="16" fillId="7" borderId="219" xfId="0" applyFont="1" applyFill="1" applyBorder="1" applyAlignment="1">
      <alignment horizontal="right" vertical="top"/>
    </xf>
    <xf numFmtId="0" fontId="5" fillId="4" borderId="156" xfId="0" applyFont="1" applyFill="1" applyBorder="1" applyAlignment="1" applyProtection="1">
      <alignment horizontal="center" vertical="center"/>
      <protection locked="0"/>
    </xf>
    <xf numFmtId="0" fontId="5" fillId="4" borderId="82" xfId="0" applyFont="1" applyFill="1" applyBorder="1" applyAlignment="1" applyProtection="1">
      <alignment horizontal="center" vertical="center"/>
      <protection locked="0"/>
    </xf>
    <xf numFmtId="0" fontId="5" fillId="4" borderId="168" xfId="0" applyFont="1" applyFill="1" applyBorder="1" applyAlignment="1" applyProtection="1">
      <alignment horizontal="center" vertical="center"/>
      <protection locked="0"/>
    </xf>
    <xf numFmtId="0" fontId="5" fillId="4" borderId="83" xfId="0" applyFont="1" applyFill="1" applyBorder="1" applyAlignment="1" applyProtection="1">
      <alignment horizontal="center" vertical="center"/>
      <protection locked="0"/>
    </xf>
    <xf numFmtId="0" fontId="7" fillId="0" borderId="40" xfId="0" applyFont="1" applyBorder="1" applyAlignment="1">
      <alignment horizontal="left" vertical="center"/>
    </xf>
    <xf numFmtId="0" fontId="4" fillId="0" borderId="0" xfId="0" applyFont="1" applyAlignment="1">
      <alignment horizontal="left" vertical="center"/>
    </xf>
    <xf numFmtId="0" fontId="7" fillId="0" borderId="10" xfId="0" applyFont="1" applyBorder="1" applyAlignment="1">
      <alignment horizontal="left" vertical="center"/>
    </xf>
    <xf numFmtId="0" fontId="55" fillId="0" borderId="0" xfId="1" applyFont="1" applyAlignment="1">
      <alignment vertical="center"/>
    </xf>
    <xf numFmtId="0" fontId="56" fillId="0" borderId="0" xfId="0" applyFont="1" applyAlignment="1"/>
    <xf numFmtId="0" fontId="12" fillId="5" borderId="50" xfId="0" applyFont="1" applyFill="1" applyBorder="1" applyAlignment="1">
      <alignment vertical="center"/>
    </xf>
    <xf numFmtId="0" fontId="3" fillId="0" borderId="33" xfId="0" applyFont="1" applyBorder="1" applyAlignment="1">
      <alignment vertical="center"/>
    </xf>
    <xf numFmtId="0" fontId="14" fillId="0" borderId="0" xfId="0" applyFont="1" applyAlignment="1">
      <alignment wrapText="1"/>
    </xf>
    <xf numFmtId="0" fontId="7" fillId="0" borderId="238" xfId="0" applyFont="1" applyFill="1" applyBorder="1" applyProtection="1">
      <protection locked="0"/>
    </xf>
    <xf numFmtId="0" fontId="16" fillId="15" borderId="80" xfId="0" applyFont="1" applyFill="1" applyBorder="1" applyAlignment="1">
      <alignment horizontal="left" vertical="top"/>
    </xf>
    <xf numFmtId="0" fontId="16" fillId="15" borderId="189" xfId="0" applyFont="1" applyFill="1" applyBorder="1" applyAlignment="1">
      <alignment horizontal="left" vertical="top"/>
    </xf>
    <xf numFmtId="0" fontId="16" fillId="15" borderId="114" xfId="0" applyFont="1" applyFill="1" applyBorder="1" applyAlignment="1">
      <alignment horizontal="left" vertical="top"/>
    </xf>
    <xf numFmtId="0" fontId="5" fillId="13" borderId="221" xfId="0" applyFont="1" applyFill="1" applyBorder="1" applyAlignment="1">
      <alignment horizontal="left" vertical="center" wrapText="1"/>
    </xf>
    <xf numFmtId="0" fontId="5" fillId="13" borderId="196" xfId="0" applyFont="1" applyFill="1" applyBorder="1" applyAlignment="1">
      <alignment horizontal="left" vertical="center" wrapText="1"/>
    </xf>
    <xf numFmtId="0" fontId="5" fillId="13" borderId="222" xfId="0" applyFont="1" applyFill="1" applyBorder="1" applyAlignment="1">
      <alignment horizontal="left" vertical="center" wrapText="1"/>
    </xf>
    <xf numFmtId="0" fontId="5" fillId="13" borderId="207" xfId="0" applyFont="1" applyFill="1" applyBorder="1" applyAlignment="1">
      <alignment horizontal="left" vertical="center" wrapText="1"/>
    </xf>
    <xf numFmtId="0" fontId="5" fillId="13" borderId="324" xfId="0" applyFont="1" applyFill="1" applyBorder="1" applyAlignment="1">
      <alignment horizontal="left" vertical="center" wrapText="1"/>
    </xf>
    <xf numFmtId="0" fontId="5" fillId="13" borderId="37" xfId="0" applyFont="1" applyFill="1" applyBorder="1" applyAlignment="1">
      <alignment horizontal="left" vertical="center" wrapText="1"/>
    </xf>
    <xf numFmtId="0" fontId="5" fillId="13" borderId="117" xfId="0" applyFont="1" applyFill="1" applyBorder="1" applyAlignment="1">
      <alignment horizontal="center" wrapText="1"/>
    </xf>
    <xf numFmtId="0" fontId="5" fillId="13" borderId="326" xfId="0" applyFont="1" applyFill="1" applyBorder="1" applyAlignment="1">
      <alignment horizontal="center" wrapText="1"/>
    </xf>
    <xf numFmtId="0" fontId="5" fillId="13" borderId="181" xfId="0" applyFont="1" applyFill="1" applyBorder="1" applyAlignment="1">
      <alignment horizontal="center" wrapText="1"/>
    </xf>
    <xf numFmtId="0" fontId="5" fillId="13" borderId="325" xfId="0" applyFont="1" applyFill="1" applyBorder="1" applyAlignment="1">
      <alignment horizontal="center" wrapText="1"/>
    </xf>
    <xf numFmtId="0" fontId="16" fillId="0" borderId="185" xfId="0" applyFont="1" applyBorder="1" applyAlignment="1">
      <alignment horizontal="left" vertical="center" wrapText="1"/>
    </xf>
    <xf numFmtId="0" fontId="16" fillId="0" borderId="139" xfId="0" applyFont="1" applyBorder="1" applyAlignment="1">
      <alignment horizontal="left" vertical="center" wrapText="1"/>
    </xf>
    <xf numFmtId="49" fontId="16" fillId="0" borderId="103" xfId="0" applyNumberFormat="1" applyFont="1" applyBorder="1" applyAlignment="1" applyProtection="1">
      <alignment horizontal="center" vertical="center" wrapText="1"/>
      <protection locked="0"/>
    </xf>
    <xf numFmtId="49" fontId="16" fillId="0" borderId="193" xfId="0" applyNumberFormat="1" applyFont="1" applyBorder="1" applyAlignment="1" applyProtection="1">
      <alignment horizontal="center" vertical="center" wrapText="1"/>
      <protection locked="0"/>
    </xf>
    <xf numFmtId="1" fontId="2" fillId="4" borderId="156" xfId="0" applyNumberFormat="1" applyFont="1" applyFill="1" applyBorder="1" applyAlignment="1">
      <alignment horizontal="center" wrapText="1"/>
    </xf>
    <xf numFmtId="1" fontId="2" fillId="4" borderId="82" xfId="0" applyNumberFormat="1" applyFont="1" applyFill="1" applyBorder="1" applyAlignment="1">
      <alignment horizontal="center" wrapText="1"/>
    </xf>
    <xf numFmtId="1" fontId="2" fillId="0" borderId="165" xfId="0" applyNumberFormat="1" applyFont="1" applyBorder="1" applyAlignment="1">
      <alignment horizontal="center" wrapText="1"/>
    </xf>
    <xf numFmtId="1" fontId="2" fillId="0" borderId="85" xfId="0" applyNumberFormat="1" applyFont="1" applyBorder="1" applyAlignment="1">
      <alignment horizontal="center" wrapText="1"/>
    </xf>
    <xf numFmtId="164" fontId="16" fillId="0" borderId="74" xfId="0" applyNumberFormat="1" applyFont="1" applyBorder="1" applyAlignment="1">
      <alignment horizontal="center" vertical="center"/>
    </xf>
    <xf numFmtId="164" fontId="16" fillId="0" borderId="65" xfId="0" applyNumberFormat="1" applyFont="1" applyBorder="1" applyAlignment="1">
      <alignment horizontal="center" vertical="center"/>
    </xf>
    <xf numFmtId="0" fontId="5" fillId="3" borderId="168" xfId="0" applyFont="1" applyFill="1" applyBorder="1" applyAlignment="1" applyProtection="1">
      <alignment horizontal="center" vertical="center"/>
      <protection locked="0"/>
    </xf>
    <xf numFmtId="0" fontId="5" fillId="3" borderId="83" xfId="0" applyFont="1" applyFill="1" applyBorder="1" applyAlignment="1" applyProtection="1">
      <alignment horizontal="center" vertical="center"/>
      <protection locked="0"/>
    </xf>
    <xf numFmtId="0" fontId="5" fillId="3" borderId="85" xfId="0" applyFont="1" applyFill="1" applyBorder="1" applyAlignment="1" applyProtection="1">
      <alignment horizontal="center" vertical="center"/>
      <protection locked="0"/>
    </xf>
    <xf numFmtId="0" fontId="21" fillId="0" borderId="166" xfId="0" applyFont="1" applyFill="1" applyBorder="1" applyAlignment="1">
      <alignment horizontal="right" vertical="top"/>
    </xf>
    <xf numFmtId="0" fontId="21" fillId="0" borderId="219" xfId="0" applyFont="1" applyFill="1" applyBorder="1" applyAlignment="1">
      <alignment horizontal="right" vertical="top"/>
    </xf>
    <xf numFmtId="0" fontId="21" fillId="0" borderId="17" xfId="0" applyFont="1" applyBorder="1" applyAlignment="1">
      <alignment horizontal="left" vertical="center" wrapText="1"/>
    </xf>
    <xf numFmtId="0" fontId="14" fillId="3" borderId="0" xfId="0" applyFont="1" applyFill="1"/>
    <xf numFmtId="0" fontId="21" fillId="0" borderId="41" xfId="0" applyFont="1" applyBorder="1" applyAlignment="1">
      <alignment vertical="center" wrapText="1"/>
    </xf>
    <xf numFmtId="0" fontId="7" fillId="0" borderId="27" xfId="0" applyFont="1" applyBorder="1" applyAlignment="1">
      <alignment vertical="center"/>
    </xf>
    <xf numFmtId="0" fontId="5" fillId="0" borderId="66" xfId="0" applyFont="1" applyBorder="1" applyAlignment="1">
      <alignment horizontal="center" vertical="center" wrapText="1"/>
    </xf>
    <xf numFmtId="0" fontId="65" fillId="0" borderId="162" xfId="0" applyFont="1" applyBorder="1" applyAlignment="1">
      <alignment horizontal="left" vertical="center"/>
    </xf>
    <xf numFmtId="0" fontId="59" fillId="0" borderId="235" xfId="0" applyFont="1" applyBorder="1" applyAlignment="1">
      <alignment vertical="center"/>
    </xf>
    <xf numFmtId="0" fontId="5" fillId="0" borderId="36" xfId="0" applyFont="1" applyBorder="1" applyAlignment="1">
      <alignment horizontal="left" vertical="center" wrapText="1"/>
    </xf>
    <xf numFmtId="0" fontId="7" fillId="0" borderId="36" xfId="0" applyFont="1" applyBorder="1"/>
    <xf numFmtId="0" fontId="7" fillId="0" borderId="23" xfId="0" applyFont="1" applyBorder="1"/>
    <xf numFmtId="0" fontId="21" fillId="0" borderId="135" xfId="0" applyFont="1" applyBorder="1" applyAlignment="1">
      <alignment horizontal="left" vertical="center" wrapText="1"/>
    </xf>
    <xf numFmtId="0" fontId="65" fillId="0" borderId="185" xfId="0" applyFont="1" applyBorder="1" applyAlignment="1">
      <alignment horizontal="left" vertical="center" wrapText="1"/>
    </xf>
    <xf numFmtId="0" fontId="59" fillId="0" borderId="139" xfId="0" applyFont="1" applyBorder="1" applyAlignment="1">
      <alignment vertical="center"/>
    </xf>
    <xf numFmtId="0" fontId="65" fillId="0" borderId="199" xfId="0" applyFont="1" applyBorder="1" applyAlignment="1">
      <alignment horizontal="left" vertical="center" wrapText="1"/>
    </xf>
    <xf numFmtId="0" fontId="59" fillId="0" borderId="151" xfId="0" applyFont="1" applyBorder="1" applyAlignment="1">
      <alignment vertical="center"/>
    </xf>
    <xf numFmtId="0" fontId="44" fillId="20" borderId="242" xfId="0" applyFont="1" applyFill="1" applyBorder="1"/>
    <xf numFmtId="0" fontId="44" fillId="20" borderId="243" xfId="0" applyFont="1" applyFill="1" applyBorder="1"/>
    <xf numFmtId="0" fontId="44" fillId="20" borderId="181" xfId="0" applyFont="1" applyFill="1" applyBorder="1"/>
    <xf numFmtId="0" fontId="12" fillId="12" borderId="242" xfId="0" applyFont="1" applyFill="1" applyBorder="1" applyAlignment="1">
      <alignment horizontal="center" vertical="center"/>
    </xf>
    <xf numFmtId="0" fontId="1" fillId="12" borderId="278" xfId="0" applyFont="1" applyFill="1" applyBorder="1" applyAlignment="1">
      <alignment horizontal="center"/>
    </xf>
    <xf numFmtId="0" fontId="7" fillId="11" borderId="243" xfId="0" applyFont="1" applyFill="1" applyBorder="1" applyAlignment="1">
      <alignment horizontal="center"/>
    </xf>
    <xf numFmtId="0" fontId="1" fillId="12" borderId="239" xfId="0" applyFont="1" applyFill="1" applyBorder="1" applyAlignment="1">
      <alignment horizontal="center" vertical="center"/>
    </xf>
    <xf numFmtId="0" fontId="2" fillId="12" borderId="239" xfId="0" applyFont="1" applyFill="1" applyBorder="1" applyAlignment="1">
      <alignment horizontal="left" vertical="center" wrapText="1"/>
    </xf>
    <xf numFmtId="0" fontId="65" fillId="0" borderId="203" xfId="0" applyFont="1" applyBorder="1" applyAlignment="1">
      <alignment horizontal="left" vertical="center" wrapText="1"/>
    </xf>
    <xf numFmtId="0" fontId="58" fillId="0" borderId="318" xfId="0" applyFont="1" applyBorder="1" applyAlignment="1">
      <alignment horizontal="left" vertical="center" wrapText="1"/>
    </xf>
    <xf numFmtId="0" fontId="58" fillId="0" borderId="129" xfId="0" applyFont="1" applyBorder="1" applyAlignment="1">
      <alignment horizontal="left" vertical="center" wrapText="1"/>
    </xf>
    <xf numFmtId="49" fontId="16" fillId="0" borderId="103" xfId="0" applyNumberFormat="1" applyFont="1" applyBorder="1" applyAlignment="1" applyProtection="1">
      <alignment horizontal="center" vertical="center"/>
      <protection locked="0"/>
    </xf>
    <xf numFmtId="49" fontId="16" fillId="0" borderId="65" xfId="0" applyNumberFormat="1" applyFont="1" applyBorder="1" applyAlignment="1" applyProtection="1">
      <alignment horizontal="center" vertical="center"/>
      <protection locked="0"/>
    </xf>
    <xf numFmtId="0" fontId="16" fillId="0" borderId="41" xfId="0" applyFont="1" applyBorder="1" applyAlignment="1">
      <alignment horizontal="left" vertical="center" wrapText="1"/>
    </xf>
    <xf numFmtId="49" fontId="5" fillId="0" borderId="79" xfId="0" applyNumberFormat="1" applyFont="1" applyBorder="1" applyAlignment="1" applyProtection="1">
      <alignment horizontal="center" vertical="center"/>
      <protection locked="0"/>
    </xf>
    <xf numFmtId="0" fontId="16" fillId="0" borderId="59" xfId="0" applyFont="1" applyBorder="1" applyAlignment="1">
      <alignment horizontal="left" vertical="center"/>
    </xf>
    <xf numFmtId="0" fontId="16" fillId="0" borderId="79" xfId="0" applyFont="1" applyBorder="1" applyAlignment="1">
      <alignment horizontal="left" vertical="center"/>
    </xf>
    <xf numFmtId="0" fontId="7" fillId="0" borderId="151" xfId="0" applyFont="1" applyFill="1" applyBorder="1" applyAlignment="1" applyProtection="1">
      <alignment horizontal="center"/>
      <protection locked="0"/>
    </xf>
    <xf numFmtId="0" fontId="7" fillId="0" borderId="49" xfId="0" applyFont="1" applyFill="1" applyBorder="1" applyAlignment="1" applyProtection="1">
      <alignment horizontal="center"/>
      <protection locked="0"/>
    </xf>
    <xf numFmtId="0" fontId="16" fillId="0" borderId="156" xfId="0" applyFont="1" applyBorder="1" applyAlignment="1">
      <alignment horizontal="center" vertical="center"/>
    </xf>
    <xf numFmtId="0" fontId="16" fillId="0" borderId="82" xfId="0" applyFont="1" applyBorder="1" applyAlignment="1">
      <alignment horizontal="center" vertical="center"/>
    </xf>
    <xf numFmtId="0" fontId="16" fillId="0" borderId="42" xfId="0" applyFont="1" applyBorder="1" applyAlignment="1">
      <alignment horizontal="center" vertical="center"/>
    </xf>
    <xf numFmtId="0" fontId="16" fillId="0" borderId="227" xfId="0" applyFont="1" applyBorder="1" applyAlignment="1">
      <alignment horizontal="center" vertical="center"/>
    </xf>
    <xf numFmtId="0" fontId="5" fillId="0" borderId="79" xfId="0" applyFont="1" applyBorder="1" applyAlignment="1">
      <alignment horizontal="left" vertical="center" wrapText="1"/>
    </xf>
    <xf numFmtId="0" fontId="16" fillId="0" borderId="151" xfId="0" applyFont="1" applyFill="1" applyBorder="1" applyAlignment="1" applyProtection="1">
      <alignment horizontal="left" vertical="center" wrapText="1"/>
      <protection locked="0"/>
    </xf>
    <xf numFmtId="0" fontId="16" fillId="0" borderId="49" xfId="0" applyFont="1" applyFill="1" applyBorder="1" applyAlignment="1" applyProtection="1">
      <alignment horizontal="left" vertical="center" wrapText="1"/>
      <protection locked="0"/>
    </xf>
    <xf numFmtId="0" fontId="65" fillId="0" borderId="162" xfId="0" applyFont="1" applyBorder="1" applyAlignment="1">
      <alignment horizontal="left" vertical="center" wrapText="1"/>
    </xf>
    <xf numFmtId="0" fontId="58" fillId="0" borderId="88" xfId="0" applyFont="1" applyBorder="1" applyAlignment="1">
      <alignment horizontal="left" vertical="center" wrapText="1"/>
    </xf>
    <xf numFmtId="0" fontId="61" fillId="7" borderId="59" xfId="0" applyFont="1" applyFill="1" applyBorder="1" applyAlignment="1" applyProtection="1">
      <alignment horizontal="center"/>
      <protection locked="0"/>
    </xf>
    <xf numFmtId="0" fontId="61" fillId="7" borderId="238" xfId="0" applyFont="1" applyFill="1" applyBorder="1" applyAlignment="1" applyProtection="1">
      <alignment horizontal="center"/>
      <protection locked="0"/>
    </xf>
    <xf numFmtId="0" fontId="61" fillId="7" borderId="65" xfId="0" applyFont="1" applyFill="1" applyBorder="1" applyAlignment="1" applyProtection="1">
      <alignment horizontal="center"/>
      <protection locked="0"/>
    </xf>
    <xf numFmtId="0" fontId="50" fillId="0" borderId="3" xfId="0" applyFont="1" applyBorder="1" applyAlignment="1">
      <alignment wrapText="1"/>
    </xf>
    <xf numFmtId="0" fontId="51" fillId="0" borderId="34" xfId="0" applyFont="1" applyBorder="1" applyAlignment="1"/>
    <xf numFmtId="0" fontId="50" fillId="0" borderId="17" xfId="0" applyFont="1" applyBorder="1" applyAlignment="1">
      <alignment horizontal="left" vertical="center" wrapText="1"/>
    </xf>
    <xf numFmtId="0" fontId="21" fillId="0" borderId="2" xfId="0" applyFont="1" applyBorder="1" applyAlignment="1">
      <alignment horizontal="left" vertical="top"/>
    </xf>
    <xf numFmtId="0" fontId="7" fillId="0" borderId="12" xfId="0" applyFont="1" applyBorder="1"/>
    <xf numFmtId="0" fontId="50" fillId="7" borderId="3" xfId="0" applyFont="1" applyFill="1" applyBorder="1" applyAlignment="1">
      <alignment wrapText="1"/>
    </xf>
    <xf numFmtId="0" fontId="51" fillId="7" borderId="34" xfId="0" applyFont="1" applyFill="1" applyBorder="1" applyAlignment="1"/>
    <xf numFmtId="0" fontId="5" fillId="0" borderId="68" xfId="0" applyFont="1" applyBorder="1" applyAlignment="1">
      <alignment horizontal="center" vertical="center" wrapText="1"/>
    </xf>
    <xf numFmtId="0" fontId="58" fillId="0" borderId="234" xfId="0" applyFont="1" applyBorder="1" applyAlignment="1">
      <alignment horizontal="left" vertical="center" wrapText="1"/>
    </xf>
  </cellXfs>
  <cellStyles count="2">
    <cellStyle name="Hyperlink" xfId="1" builtinId="8"/>
    <cellStyle name="Normal" xfId="0" builtinId="0"/>
  </cellStyles>
  <dxfs count="4">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colors>
    <mruColors>
      <color rgb="FF009900"/>
      <color rgb="FF008000"/>
      <color rgb="FFFFFF99"/>
      <color rgb="FFFFFFCC"/>
      <color rgb="FFCCCCFF"/>
      <color rgb="FFCCFFCC"/>
      <color rgb="FF66FF66"/>
      <color rgb="FFCC1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tif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17</xdr:col>
      <xdr:colOff>0</xdr:colOff>
      <xdr:row>5</xdr:row>
      <xdr:rowOff>0</xdr:rowOff>
    </xdr:from>
    <xdr:ext cx="609600" cy="304800"/>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12</xdr:col>
      <xdr:colOff>323850</xdr:colOff>
      <xdr:row>0</xdr:row>
      <xdr:rowOff>47624</xdr:rowOff>
    </xdr:from>
    <xdr:to>
      <xdr:col>12</xdr:col>
      <xdr:colOff>1400175</xdr:colOff>
      <xdr:row>2</xdr:row>
      <xdr:rowOff>95249</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48625" y="47624"/>
          <a:ext cx="1076325" cy="1076325"/>
        </a:xfrm>
        <a:prstGeom prst="rect">
          <a:avLst/>
        </a:prstGeom>
      </xdr:spPr>
    </xdr:pic>
    <xdr:clientData/>
  </xdr:twoCellAnchor>
  <xdr:twoCellAnchor editAs="oneCell">
    <xdr:from>
      <xdr:col>0</xdr:col>
      <xdr:colOff>3176</xdr:colOff>
      <xdr:row>0</xdr:row>
      <xdr:rowOff>0</xdr:rowOff>
    </xdr:from>
    <xdr:to>
      <xdr:col>4</xdr:col>
      <xdr:colOff>180975</xdr:colOff>
      <xdr:row>3</xdr:row>
      <xdr:rowOff>37538</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176" y="0"/>
          <a:ext cx="952499" cy="11614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nfrc.org/WindowRatings/" TargetMode="External"/><Relationship Id="rId21" Type="http://schemas.openxmlformats.org/officeDocument/2006/relationships/hyperlink" Target="http://www.buildingscience.com/documents/insights/bsi-030-advanced-framing" TargetMode="External"/><Relationship Id="rId42" Type="http://schemas.openxmlformats.org/officeDocument/2006/relationships/hyperlink" Target="https://www.energystar.gov/ia/new_homes/features/WaterHtrs_062906.pdf" TargetMode="External"/><Relationship Id="rId47" Type="http://schemas.openxmlformats.org/officeDocument/2006/relationships/hyperlink" Target="http://www.dsireusa.org/" TargetMode="External"/><Relationship Id="rId63" Type="http://schemas.openxmlformats.org/officeDocument/2006/relationships/hyperlink" Target="http://www.ncsu.edu/ncsu/design/cud/quicklinks_ql/qlquicklinks.htm" TargetMode="External"/><Relationship Id="rId68" Type="http://schemas.openxmlformats.org/officeDocument/2006/relationships/hyperlink" Target="https://www.energystar.gov/ia/partners/bldrs_lenders_raters/downloads/ENERGY_STAR_V3_HVAC_Quality_Installation_Guidebook.pdf" TargetMode="External"/><Relationship Id="rId16" Type="http://schemas.openxmlformats.org/officeDocument/2006/relationships/hyperlink" Target="http://www.buildingscience.com/documents/information-sheets/slab-edge-insulation" TargetMode="External"/><Relationship Id="rId11" Type="http://schemas.openxmlformats.org/officeDocument/2006/relationships/hyperlink" Target="http://www.energystar.gov/products/certified-products" TargetMode="External"/><Relationship Id="rId24" Type="http://schemas.openxmlformats.org/officeDocument/2006/relationships/hyperlink" Target="http://energy.gov/energysaver/articles/radiant-barriers" TargetMode="External"/><Relationship Id="rId32" Type="http://schemas.openxmlformats.org/officeDocument/2006/relationships/hyperlink" Target="http://www.buildingscience.com/documents/information-sheets/information-sheet-transfer-grilles-and-ducts" TargetMode="External"/><Relationship Id="rId37" Type="http://schemas.openxmlformats.org/officeDocument/2006/relationships/hyperlink" Target="http://apps1.eere.energy.gov/buildings/publications/pdfs/building_america/26459.pdf" TargetMode="External"/><Relationship Id="rId40" Type="http://schemas.openxmlformats.org/officeDocument/2006/relationships/hyperlink" Target="https://www.energystar.gov/products/certified-products/detail/refrigerators" TargetMode="External"/><Relationship Id="rId45" Type="http://schemas.openxmlformats.org/officeDocument/2006/relationships/hyperlink" Target="http://energy.gov/energysaver/articles/lighting-controls" TargetMode="External"/><Relationship Id="rId53" Type="http://schemas.openxmlformats.org/officeDocument/2006/relationships/hyperlink" Target="http://www.nrel.gov/docs/fy03osti/26466.pdf" TargetMode="External"/><Relationship Id="rId58" Type="http://schemas.openxmlformats.org/officeDocument/2006/relationships/hyperlink" Target="https://www.wbdg.org/resources/cwmgmt.php" TargetMode="External"/><Relationship Id="rId66" Type="http://schemas.openxmlformats.org/officeDocument/2006/relationships/hyperlink" Target="http://justeconomicswnc.org/" TargetMode="External"/><Relationship Id="rId74" Type="http://schemas.openxmlformats.org/officeDocument/2006/relationships/hyperlink" Target="https://extension.colostate.edu/topic-areas/yard-garden/protecting-trees-during-construction-7-420/" TargetMode="External"/><Relationship Id="rId79" Type="http://schemas.openxmlformats.org/officeDocument/2006/relationships/vmlDrawing" Target="../drawings/vmlDrawing1.vml"/><Relationship Id="rId5" Type="http://schemas.openxmlformats.org/officeDocument/2006/relationships/hyperlink" Target="http://www.nrel.gov/docs/fy03osti/26466.pdf" TargetMode="External"/><Relationship Id="rId61" Type="http://schemas.openxmlformats.org/officeDocument/2006/relationships/hyperlink" Target="http://web.ornl.gov/sci/roofs+walls/facts/foundation/foundation.pdf" TargetMode="External"/><Relationship Id="rId19" Type="http://schemas.openxmlformats.org/officeDocument/2006/relationships/hyperlink" Target="https://www.energystar.gov/ia/partners/bldrs_lenders_raters/downloads/Thermal_Enclosure_Factsheet.pdf?94d2-dda3" TargetMode="External"/><Relationship Id="rId14" Type="http://schemas.openxmlformats.org/officeDocument/2006/relationships/hyperlink" Target="http://energy.gov/energysaver/articles/blower-door-tests" TargetMode="External"/><Relationship Id="rId22" Type="http://schemas.openxmlformats.org/officeDocument/2006/relationships/hyperlink" Target="https://basc.pnnl.gov/resource-guides/unvented-attic-insulation" TargetMode="External"/><Relationship Id="rId27" Type="http://schemas.openxmlformats.org/officeDocument/2006/relationships/hyperlink" Target="http://energy.gov/energysaver/articles/energy-efficient-windows" TargetMode="External"/><Relationship Id="rId30" Type="http://schemas.openxmlformats.org/officeDocument/2006/relationships/hyperlink" Target="http://energy.gov/sites/prod/files/2014/01/f6/1_1g_ba_innov_ductsconditionedspace_011713.pdf" TargetMode="External"/><Relationship Id="rId35" Type="http://schemas.openxmlformats.org/officeDocument/2006/relationships/hyperlink" Target="http://energy.gov/energysaver/articles/radiant-heating" TargetMode="External"/><Relationship Id="rId43" Type="http://schemas.openxmlformats.org/officeDocument/2006/relationships/hyperlink" Target="http://energy.gov/energysaver/articles/selecting-new-water-heater" TargetMode="External"/><Relationship Id="rId48" Type="http://schemas.openxmlformats.org/officeDocument/2006/relationships/hyperlink" Target="http://pvwatts.nrel.gov/" TargetMode="External"/><Relationship Id="rId56" Type="http://schemas.openxmlformats.org/officeDocument/2006/relationships/hyperlink" Target="http://www.epa.gov/radon/rrnc/basic_techniques_builder.html" TargetMode="External"/><Relationship Id="rId64" Type="http://schemas.openxmlformats.org/officeDocument/2006/relationships/hyperlink" Target="http://homerecycling.sustainablesources.com/" TargetMode="External"/><Relationship Id="rId69" Type="http://schemas.openxmlformats.org/officeDocument/2006/relationships/hyperlink" Target="https://www.epa.gov/indoor-air-quality-iaq/should-you-have-air-ducts-your-home-cleaned" TargetMode="External"/><Relationship Id="rId77" Type="http://schemas.openxmlformats.org/officeDocument/2006/relationships/printerSettings" Target="../printerSettings/printerSettings1.bin"/><Relationship Id="rId8" Type="http://schemas.openxmlformats.org/officeDocument/2006/relationships/hyperlink" Target="http://www.biodiesel.org/using-biodiesel/finding-biodiesel" TargetMode="External"/><Relationship Id="rId51" Type="http://schemas.openxmlformats.org/officeDocument/2006/relationships/hyperlink" Target="http://www.epa.gov/iaq/co.html" TargetMode="External"/><Relationship Id="rId72" Type="http://schemas.openxmlformats.org/officeDocument/2006/relationships/hyperlink" Target="https://pluginnc.com/wp-content/uploads/2016/06/Residentail_Handbok_FINAL.pdf" TargetMode="External"/><Relationship Id="rId80" Type="http://schemas.openxmlformats.org/officeDocument/2006/relationships/comments" Target="../comments1.xml"/><Relationship Id="rId3" Type="http://schemas.openxmlformats.org/officeDocument/2006/relationships/hyperlink" Target="http://energy.gov/energysaver/articles/blower-door-tests" TargetMode="External"/><Relationship Id="rId12" Type="http://schemas.openxmlformats.org/officeDocument/2006/relationships/hyperlink" Target="http://www.energystar.gov/products/certified-products" TargetMode="External"/><Relationship Id="rId17" Type="http://schemas.openxmlformats.org/officeDocument/2006/relationships/hyperlink" Target="http://www.advancedenergy.org/portal/crawl_spaces/pdfs/Closed%20Crawl%20Spaces_An%20Introduction%20for%20the%20Southeast.pdf" TargetMode="External"/><Relationship Id="rId25" Type="http://schemas.openxmlformats.org/officeDocument/2006/relationships/hyperlink" Target="https://www.energystar.gov/products/certified-products/detail/roof-products" TargetMode="External"/><Relationship Id="rId33" Type="http://schemas.openxmlformats.org/officeDocument/2006/relationships/hyperlink" Target="https://basc.pnnl.gov/information/air-balance" TargetMode="External"/><Relationship Id="rId38" Type="http://schemas.openxmlformats.org/officeDocument/2006/relationships/hyperlink" Target="http://energy.gov/energysaver/articles/thermostats" TargetMode="External"/><Relationship Id="rId46" Type="http://schemas.openxmlformats.org/officeDocument/2006/relationships/hyperlink" Target="http://www.embedded.com/design/connectivity/4431025/Home-automation-system-design--the-basics" TargetMode="External"/><Relationship Id="rId59" Type="http://schemas.openxmlformats.org/officeDocument/2006/relationships/hyperlink" Target="https://www.wbdg.org/resources/cwmgmt.php" TargetMode="External"/><Relationship Id="rId67" Type="http://schemas.openxmlformats.org/officeDocument/2006/relationships/hyperlink" Target="https://www.energystar.gov/ia/partners/bldrs_lenders_raters/downloads/ENERGY_STAR_V3_HVAC_Quality_Installation_Guidebook.pdf" TargetMode="External"/><Relationship Id="rId20" Type="http://schemas.openxmlformats.org/officeDocument/2006/relationships/hyperlink" Target="http://www.nrel.gov/docs/fy01osti/26449.pdf" TargetMode="External"/><Relationship Id="rId41" Type="http://schemas.openxmlformats.org/officeDocument/2006/relationships/hyperlink" Target="https://www.energystar.gov/products/certified-products/detail/clothes_dryers" TargetMode="External"/><Relationship Id="rId54" Type="http://schemas.openxmlformats.org/officeDocument/2006/relationships/hyperlink" Target="http://www.epa.gov/iaq/co.html" TargetMode="External"/><Relationship Id="rId62" Type="http://schemas.openxmlformats.org/officeDocument/2006/relationships/hyperlink" Target="http://www.greenbuildingadvisor.com/blogs/dept/musings/all-about-rainscreens" TargetMode="External"/><Relationship Id="rId70" Type="http://schemas.openxmlformats.org/officeDocument/2006/relationships/hyperlink" Target="https://nadca.com/homeowners/proper-cleaning-methods" TargetMode="External"/><Relationship Id="rId75" Type="http://schemas.openxmlformats.org/officeDocument/2006/relationships/hyperlink" Target="https://www.epa.gov/radon/radon-standards-practice" TargetMode="External"/><Relationship Id="rId1" Type="http://schemas.openxmlformats.org/officeDocument/2006/relationships/hyperlink" Target="http://ncenergystar.org/energy-code" TargetMode="External"/><Relationship Id="rId6" Type="http://schemas.openxmlformats.org/officeDocument/2006/relationships/hyperlink" Target="http://www.invasive.org/species/weeds.cfm" TargetMode="External"/><Relationship Id="rId15" Type="http://schemas.openxmlformats.org/officeDocument/2006/relationships/hyperlink" Target="https://basc.pnnl.gov/resource-guides/slab-edge-insulation" TargetMode="External"/><Relationship Id="rId23" Type="http://schemas.openxmlformats.org/officeDocument/2006/relationships/hyperlink" Target="http://energy.gov/sites/prod/files/2014/01/f6/1_1c_ba_innov_unventedconditionedattics_011713.pdf" TargetMode="External"/><Relationship Id="rId28" Type="http://schemas.openxmlformats.org/officeDocument/2006/relationships/hyperlink" Target="http://www.susdesign.com/overhang/" TargetMode="External"/><Relationship Id="rId36" Type="http://schemas.openxmlformats.org/officeDocument/2006/relationships/hyperlink" Target="https://basc.pnnl.gov/information/ecm-air-handler-fans" TargetMode="External"/><Relationship Id="rId49" Type="http://schemas.openxmlformats.org/officeDocument/2006/relationships/hyperlink" Target="http://www.epa.gov/burnwise/energyefficiency.html" TargetMode="External"/><Relationship Id="rId57" Type="http://schemas.openxmlformats.org/officeDocument/2006/relationships/hyperlink" Target="http://www.arb.ca.gov/toxics/compwood/consumer_faq.pdf" TargetMode="External"/><Relationship Id="rId10" Type="http://schemas.openxmlformats.org/officeDocument/2006/relationships/hyperlink" Target="http://www.garden.org/ediblelandscaping" TargetMode="External"/><Relationship Id="rId31" Type="http://schemas.openxmlformats.org/officeDocument/2006/relationships/hyperlink" Target="http://apps1.eere.energy.gov/buildings/publications/pdfs/building_america/strategy_guide_air_distr.pdf" TargetMode="External"/><Relationship Id="rId44" Type="http://schemas.openxmlformats.org/officeDocument/2006/relationships/hyperlink" Target="http://energy.gov/public-services/homes/saving-electricity/lighting" TargetMode="External"/><Relationship Id="rId52" Type="http://schemas.openxmlformats.org/officeDocument/2006/relationships/hyperlink" Target="http://energy.gov/energysaver/articles/whole-house-ventilation" TargetMode="External"/><Relationship Id="rId60" Type="http://schemas.openxmlformats.org/officeDocument/2006/relationships/hyperlink" Target="http://www.crawlspaces.org/" TargetMode="External"/><Relationship Id="rId65" Type="http://schemas.openxmlformats.org/officeDocument/2006/relationships/hyperlink" Target="https://www.wbdg.org/wbdg_approach.php" TargetMode="External"/><Relationship Id="rId73" Type="http://schemas.openxmlformats.org/officeDocument/2006/relationships/hyperlink" Target="http://www.bpi.org/certified-professionals/healthy-home-evaluator" TargetMode="External"/><Relationship Id="rId78" Type="http://schemas.openxmlformats.org/officeDocument/2006/relationships/drawing" Target="../drawings/drawing1.xml"/><Relationship Id="rId4" Type="http://schemas.openxmlformats.org/officeDocument/2006/relationships/hyperlink" Target="http://www.nrel.gov/docs/fy02osti/31318.pdf" TargetMode="External"/><Relationship Id="rId9" Type="http://schemas.openxmlformats.org/officeDocument/2006/relationships/hyperlink" Target="https://www.buncombecounty.org/common/planning/WorkforceHousingApplication.pdf" TargetMode="External"/><Relationship Id="rId13" Type="http://schemas.openxmlformats.org/officeDocument/2006/relationships/hyperlink" Target="http://www.resnet.us/hers-index?" TargetMode="External"/><Relationship Id="rId18" Type="http://schemas.openxmlformats.org/officeDocument/2006/relationships/hyperlink" Target="http://www.advancedenergy.org/portal/crawl_spaces/pdfs/Closed%20Crawl%20Spaces_Quick%20Reference.pdf" TargetMode="External"/><Relationship Id="rId39" Type="http://schemas.openxmlformats.org/officeDocument/2006/relationships/hyperlink" Target="http://apps1.eere.energy.gov/buildings/publications/pdfs/building_america/26459.pdf" TargetMode="External"/><Relationship Id="rId34" Type="http://schemas.openxmlformats.org/officeDocument/2006/relationships/hyperlink" Target="http://energy.gov/energysaver/articles/ductless-mini-split-heat-pumps" TargetMode="External"/><Relationship Id="rId50" Type="http://schemas.openxmlformats.org/officeDocument/2006/relationships/hyperlink" Target="http://www.epa.gov/indoorairplus/" TargetMode="External"/><Relationship Id="rId55" Type="http://schemas.openxmlformats.org/officeDocument/2006/relationships/hyperlink" Target="http://www.energyvanguard.com/blog-building-science-HERS-BPI/bid/56595/Don-t-Compromise-Get-a-Low-Level-Carbon-Monoxide-Monitor" TargetMode="External"/><Relationship Id="rId76" Type="http://schemas.openxmlformats.org/officeDocument/2006/relationships/hyperlink" Target="https://drive.google.com/file/d/1Wadxt2vNgH7fb6aKoX7Ww-ggPGqoOCyo/view" TargetMode="External"/><Relationship Id="rId7" Type="http://schemas.openxmlformats.org/officeDocument/2006/relationships/hyperlink" Target="http://www.afdc.energy.gov/fuels/biodiesel_benefits.html" TargetMode="External"/><Relationship Id="rId71" Type="http://schemas.openxmlformats.org/officeDocument/2006/relationships/hyperlink" Target="https://pluginnc.com/wp-content/uploads/2016/06/Updated-EV-Ready-Homes-Builder-Guide.pdf" TargetMode="External"/><Relationship Id="rId2" Type="http://schemas.openxmlformats.org/officeDocument/2006/relationships/hyperlink" Target="http://www.energystar.gov/index.cfm?c=bldrs_lenders_raters.nh_v3_guidelines" TargetMode="External"/><Relationship Id="rId29" Type="http://schemas.openxmlformats.org/officeDocument/2006/relationships/hyperlink" Target="http://energy.gov/energysaver/articles/passive-solar-home-desig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551"/>
  <sheetViews>
    <sheetView tabSelected="1" topLeftCell="A547" zoomScaleNormal="100" zoomScaleSheetLayoutView="100" workbookViewId="0">
      <selection activeCell="F246" sqref="F246:G246"/>
    </sheetView>
  </sheetViews>
  <sheetFormatPr defaultColWidth="14.453125" defaultRowHeight="15" customHeight="1" x14ac:dyDescent="0.35"/>
  <cols>
    <col min="1" max="1" width="2.7265625" style="14" customWidth="1"/>
    <col min="2" max="2" width="3" style="14" customWidth="1"/>
    <col min="3" max="4" width="2.7265625" style="14" customWidth="1"/>
    <col min="5" max="5" width="3" customWidth="1"/>
    <col min="6" max="6" width="5.26953125" customWidth="1"/>
    <col min="7" max="7" width="54.7265625" customWidth="1"/>
    <col min="8" max="8" width="7.54296875" customWidth="1"/>
    <col min="9" max="9" width="7" style="697" customWidth="1"/>
    <col min="10" max="10" width="4.54296875" style="697" customWidth="1"/>
    <col min="11" max="11" width="0.1796875" customWidth="1"/>
    <col min="12" max="12" width="24" customWidth="1"/>
    <col min="13" max="13" width="21.81640625" style="707" customWidth="1"/>
    <col min="14" max="14" width="1.81640625" customWidth="1"/>
    <col min="15" max="15" width="9.1796875" customWidth="1"/>
    <col min="16" max="16" width="7" customWidth="1"/>
    <col min="17" max="17" width="5" customWidth="1"/>
    <col min="18" max="18" width="8.453125" customWidth="1"/>
    <col min="19" max="20" width="9.1796875" customWidth="1"/>
  </cols>
  <sheetData>
    <row r="1" spans="1:20" ht="51.75" customHeight="1" x14ac:dyDescent="0.35">
      <c r="A1" s="1577" t="s">
        <v>616</v>
      </c>
      <c r="B1" s="1578"/>
      <c r="C1" s="1578"/>
      <c r="D1" s="1578"/>
      <c r="E1" s="1578"/>
      <c r="F1" s="1578"/>
      <c r="G1" s="1578"/>
      <c r="H1" s="1578"/>
      <c r="I1" s="1578"/>
      <c r="J1" s="1578"/>
      <c r="K1" s="1578"/>
      <c r="L1" s="1578"/>
      <c r="M1" s="1579"/>
      <c r="N1" s="1"/>
      <c r="O1" s="2"/>
      <c r="P1" s="2"/>
      <c r="Q1" s="2"/>
      <c r="R1" s="2"/>
      <c r="S1" s="2"/>
      <c r="T1" s="2"/>
    </row>
    <row r="2" spans="1:20" ht="29.25" customHeight="1" x14ac:dyDescent="0.35">
      <c r="A2" s="1580"/>
      <c r="B2" s="1581"/>
      <c r="C2" s="1581"/>
      <c r="D2" s="1581"/>
      <c r="E2" s="1581"/>
      <c r="F2" s="1581"/>
      <c r="G2" s="1581"/>
      <c r="H2" s="1581"/>
      <c r="I2" s="1581"/>
      <c r="J2" s="1581"/>
      <c r="K2" s="1581"/>
      <c r="L2" s="1581"/>
      <c r="M2" s="1582"/>
      <c r="N2" s="3"/>
      <c r="O2" s="4"/>
      <c r="P2" s="4"/>
      <c r="Q2" s="4"/>
      <c r="R2" s="4"/>
      <c r="S2" s="4"/>
      <c r="T2" s="4"/>
    </row>
    <row r="3" spans="1:20" ht="8.25" customHeight="1" thickBot="1" x14ac:dyDescent="0.4">
      <c r="A3" s="1583"/>
      <c r="B3" s="1584"/>
      <c r="C3" s="1584"/>
      <c r="D3" s="1584"/>
      <c r="E3" s="1584"/>
      <c r="F3" s="1584"/>
      <c r="G3" s="1584"/>
      <c r="H3" s="1584"/>
      <c r="I3" s="1584"/>
      <c r="J3" s="1584"/>
      <c r="K3" s="1584"/>
      <c r="L3" s="1584"/>
      <c r="M3" s="1585"/>
      <c r="N3" s="3"/>
      <c r="O3" s="4"/>
      <c r="P3" s="4"/>
      <c r="Q3" s="4"/>
      <c r="R3" s="4"/>
      <c r="S3" s="4"/>
      <c r="T3" s="4"/>
    </row>
    <row r="4" spans="1:20" ht="28" customHeight="1" thickBot="1" x14ac:dyDescent="0.4">
      <c r="A4" s="1608" t="s">
        <v>552</v>
      </c>
      <c r="B4" s="1609"/>
      <c r="C4" s="1609"/>
      <c r="D4" s="1609"/>
      <c r="E4" s="1609"/>
      <c r="F4" s="1609"/>
      <c r="G4" s="1609"/>
      <c r="H4" s="1609"/>
      <c r="I4" s="1609"/>
      <c r="J4" s="1609"/>
      <c r="K4" s="1609"/>
      <c r="L4" s="1609"/>
      <c r="M4" s="1610"/>
      <c r="N4" s="3"/>
      <c r="O4" s="726"/>
      <c r="P4" s="726"/>
      <c r="Q4" s="726"/>
      <c r="R4" s="726"/>
      <c r="S4" s="726"/>
      <c r="T4" s="726"/>
    </row>
    <row r="5" spans="1:20" s="283" customFormat="1" ht="18.75" customHeight="1" x14ac:dyDescent="0.35">
      <c r="A5" s="1586" t="s">
        <v>2</v>
      </c>
      <c r="B5" s="1587"/>
      <c r="C5" s="1587"/>
      <c r="D5" s="1587"/>
      <c r="E5" s="1587"/>
      <c r="F5" s="1587"/>
      <c r="G5" s="1587"/>
      <c r="H5" s="1587"/>
      <c r="I5" s="1587"/>
      <c r="J5" s="1587"/>
      <c r="K5" s="1588"/>
      <c r="L5" s="580" t="s">
        <v>460</v>
      </c>
      <c r="M5" s="581" t="s">
        <v>413</v>
      </c>
      <c r="N5" s="281"/>
      <c r="O5" s="282"/>
      <c r="P5" s="282"/>
      <c r="Q5" s="282"/>
      <c r="R5" s="282"/>
      <c r="S5" s="282"/>
      <c r="T5" s="282"/>
    </row>
    <row r="6" spans="1:20" s="283" customFormat="1" ht="14.25" customHeight="1" x14ac:dyDescent="0.35">
      <c r="A6" s="1589"/>
      <c r="B6" s="1590"/>
      <c r="C6" s="1590"/>
      <c r="D6" s="1590"/>
      <c r="E6" s="1590"/>
      <c r="F6" s="1590"/>
      <c r="G6" s="1590"/>
      <c r="H6" s="1590"/>
      <c r="I6" s="1590"/>
      <c r="J6" s="1590"/>
      <c r="K6" s="1591"/>
      <c r="L6" s="284"/>
      <c r="M6" s="582"/>
      <c r="N6" s="281"/>
      <c r="O6" s="282"/>
      <c r="P6" s="282"/>
      <c r="Q6" s="282"/>
      <c r="R6" s="282"/>
      <c r="S6" s="282"/>
      <c r="T6" s="282"/>
    </row>
    <row r="7" spans="1:20" s="283" customFormat="1" ht="22.5" customHeight="1" x14ac:dyDescent="0.35">
      <c r="A7" s="1592" t="s">
        <v>4</v>
      </c>
      <c r="B7" s="1593"/>
      <c r="C7" s="1593"/>
      <c r="D7" s="1593"/>
      <c r="E7" s="1593"/>
      <c r="F7" s="1593"/>
      <c r="G7" s="1594"/>
      <c r="H7" s="1593"/>
      <c r="I7" s="1593"/>
      <c r="J7" s="1593"/>
      <c r="K7" s="1595"/>
      <c r="L7" s="285" t="s">
        <v>5</v>
      </c>
      <c r="M7" s="583">
        <f>H38</f>
        <v>0</v>
      </c>
      <c r="N7" s="281"/>
      <c r="O7" s="282"/>
      <c r="P7" s="282"/>
      <c r="Q7" s="282"/>
      <c r="R7" s="282"/>
      <c r="S7" s="282"/>
      <c r="T7" s="282"/>
    </row>
    <row r="8" spans="1:20" s="283" customFormat="1" ht="27.75" customHeight="1" x14ac:dyDescent="0.35">
      <c r="A8" s="1596" t="s">
        <v>6</v>
      </c>
      <c r="B8" s="1597"/>
      <c r="C8" s="1597"/>
      <c r="D8" s="1597"/>
      <c r="E8" s="1597"/>
      <c r="F8" s="1597"/>
      <c r="G8" s="1597"/>
      <c r="H8" s="1597"/>
      <c r="I8" s="1597"/>
      <c r="J8" s="1597"/>
      <c r="K8" s="1597"/>
      <c r="L8" s="1597"/>
      <c r="M8" s="1598"/>
      <c r="N8" s="286"/>
      <c r="O8" s="287"/>
      <c r="P8" s="287"/>
      <c r="Q8" s="287"/>
      <c r="R8" s="287"/>
      <c r="S8" s="287"/>
      <c r="T8" s="287"/>
    </row>
    <row r="9" spans="1:20" s="283" customFormat="1" ht="17.25" customHeight="1" x14ac:dyDescent="0.35">
      <c r="A9" s="1599"/>
      <c r="B9" s="1600"/>
      <c r="C9" s="1600"/>
      <c r="D9" s="1600"/>
      <c r="E9" s="1600"/>
      <c r="F9" s="1600"/>
      <c r="G9" s="1600"/>
      <c r="H9" s="1600"/>
      <c r="I9" s="1600"/>
      <c r="J9" s="1600"/>
      <c r="K9" s="1600"/>
      <c r="L9" s="1600"/>
      <c r="M9" s="1601"/>
      <c r="N9" s="288"/>
      <c r="O9" s="282"/>
      <c r="P9" s="282"/>
      <c r="Q9" s="282"/>
      <c r="R9" s="282"/>
      <c r="S9" s="282"/>
      <c r="T9" s="282"/>
    </row>
    <row r="10" spans="1:20" s="283" customFormat="1" ht="21" customHeight="1" thickBot="1" x14ac:dyDescent="0.4">
      <c r="A10" s="1602" t="s">
        <v>9</v>
      </c>
      <c r="B10" s="1603"/>
      <c r="C10" s="1603"/>
      <c r="D10" s="1603"/>
      <c r="E10" s="1603"/>
      <c r="F10" s="1603"/>
      <c r="G10" s="1603"/>
      <c r="H10" s="1603"/>
      <c r="I10" s="1603"/>
      <c r="J10" s="1603"/>
      <c r="K10" s="1603"/>
      <c r="L10" s="1603"/>
      <c r="M10" s="1604"/>
      <c r="N10" s="288"/>
      <c r="O10" s="282"/>
      <c r="P10" s="282"/>
      <c r="Q10" s="282"/>
      <c r="R10" s="282"/>
      <c r="S10" s="282"/>
      <c r="T10" s="282"/>
    </row>
    <row r="11" spans="1:20" ht="21.75" customHeight="1" thickBot="1" x14ac:dyDescent="0.4">
      <c r="A11" s="1605" t="s">
        <v>10</v>
      </c>
      <c r="B11" s="1606"/>
      <c r="C11" s="1606"/>
      <c r="D11" s="1606"/>
      <c r="E11" s="1606"/>
      <c r="F11" s="1606"/>
      <c r="G11" s="1606"/>
      <c r="H11" s="1606"/>
      <c r="I11" s="1606"/>
      <c r="J11" s="1606"/>
      <c r="K11" s="1606"/>
      <c r="L11" s="1606"/>
      <c r="M11" s="1607"/>
      <c r="N11" s="3"/>
      <c r="O11" s="4"/>
      <c r="P11" s="4"/>
      <c r="Q11" s="4"/>
      <c r="R11" s="4"/>
      <c r="S11" s="4"/>
      <c r="T11" s="4"/>
    </row>
    <row r="12" spans="1:20" s="225" customFormat="1" ht="84" customHeight="1" x14ac:dyDescent="0.25">
      <c r="A12" s="584" t="s">
        <v>11</v>
      </c>
      <c r="B12" s="1561" t="s">
        <v>501</v>
      </c>
      <c r="C12" s="1562"/>
      <c r="D12" s="1562"/>
      <c r="E12" s="1562"/>
      <c r="F12" s="1562"/>
      <c r="G12" s="1562"/>
      <c r="H12" s="1562"/>
      <c r="I12" s="1562"/>
      <c r="J12" s="1562"/>
      <c r="K12" s="1562"/>
      <c r="L12" s="1562"/>
      <c r="M12" s="1563"/>
      <c r="N12" s="486"/>
      <c r="O12" s="486"/>
      <c r="P12" s="486"/>
      <c r="Q12" s="486"/>
      <c r="R12" s="486"/>
      <c r="S12" s="486"/>
      <c r="T12" s="486"/>
    </row>
    <row r="13" spans="1:20" s="225" customFormat="1" ht="30" customHeight="1" x14ac:dyDescent="0.25">
      <c r="A13" s="584" t="s">
        <v>12</v>
      </c>
      <c r="B13" s="1550" t="s">
        <v>502</v>
      </c>
      <c r="C13" s="1548"/>
      <c r="D13" s="1548"/>
      <c r="E13" s="1548"/>
      <c r="F13" s="1548"/>
      <c r="G13" s="1548"/>
      <c r="H13" s="1548"/>
      <c r="I13" s="1548"/>
      <c r="J13" s="1548"/>
      <c r="K13" s="1548"/>
      <c r="L13" s="1548"/>
      <c r="M13" s="1549"/>
      <c r="N13" s="486"/>
      <c r="O13" s="486"/>
      <c r="P13" s="486"/>
      <c r="Q13" s="486"/>
      <c r="R13" s="486"/>
      <c r="S13" s="486"/>
      <c r="T13" s="486"/>
    </row>
    <row r="14" spans="1:20" s="225" customFormat="1" ht="44.25" customHeight="1" thickBot="1" x14ac:dyDescent="0.3">
      <c r="A14" s="585" t="s">
        <v>13</v>
      </c>
      <c r="B14" s="1564" t="s">
        <v>503</v>
      </c>
      <c r="C14" s="1554"/>
      <c r="D14" s="1554"/>
      <c r="E14" s="1554"/>
      <c r="F14" s="1554"/>
      <c r="G14" s="1554"/>
      <c r="H14" s="1554"/>
      <c r="I14" s="1554"/>
      <c r="J14" s="1554"/>
      <c r="K14" s="1554"/>
      <c r="L14" s="1554"/>
      <c r="M14" s="1555"/>
      <c r="N14" s="486"/>
      <c r="O14" s="486"/>
      <c r="P14" s="486"/>
      <c r="Q14" s="486"/>
      <c r="R14" s="486"/>
      <c r="S14" s="486"/>
      <c r="T14" s="486"/>
    </row>
    <row r="15" spans="1:20" s="251" customFormat="1" ht="16.5" customHeight="1" x14ac:dyDescent="0.4">
      <c r="A15" s="1565" t="str">
        <f>HYPERLINK("https://www.greenbuilt.org/programs/green-built-homes/register-green-built-nc-homes/","Don't forget to register the project by visiting www.GreenBuilt.org")</f>
        <v>Don't forget to register the project by visiting www.GreenBuilt.org</v>
      </c>
      <c r="B15" s="1566"/>
      <c r="C15" s="1566"/>
      <c r="D15" s="1566"/>
      <c r="E15" s="1566"/>
      <c r="F15" s="1566"/>
      <c r="G15" s="1566"/>
      <c r="H15" s="1566"/>
      <c r="I15" s="1566"/>
      <c r="J15" s="1566"/>
      <c r="K15" s="1566"/>
      <c r="L15" s="1566"/>
      <c r="M15" s="1567"/>
      <c r="N15" s="3"/>
      <c r="O15" s="206"/>
      <c r="P15" s="206"/>
      <c r="Q15" s="206"/>
      <c r="R15" s="206"/>
      <c r="S15" s="206"/>
      <c r="T15" s="206"/>
    </row>
    <row r="16" spans="1:20" ht="15.75" customHeight="1" thickBot="1" x14ac:dyDescent="0.4">
      <c r="A16" s="1568" t="s">
        <v>520</v>
      </c>
      <c r="B16" s="1569"/>
      <c r="C16" s="1569"/>
      <c r="D16" s="1569"/>
      <c r="E16" s="1569"/>
      <c r="F16" s="1569"/>
      <c r="G16" s="1569"/>
      <c r="H16" s="1569"/>
      <c r="I16" s="1569"/>
      <c r="J16" s="1569"/>
      <c r="K16" s="1569"/>
      <c r="L16" s="1569"/>
      <c r="M16" s="1570"/>
      <c r="N16" s="9"/>
      <c r="O16" s="10"/>
      <c r="P16" s="10"/>
      <c r="Q16" s="10"/>
      <c r="R16" s="10"/>
      <c r="S16" s="10"/>
      <c r="T16" s="10"/>
    </row>
    <row r="17" spans="1:20" ht="15" hidden="1" customHeight="1" x14ac:dyDescent="0.35">
      <c r="A17" s="1571"/>
      <c r="B17" s="1572"/>
      <c r="C17" s="1572"/>
      <c r="D17" s="1572"/>
      <c r="E17" s="1572"/>
      <c r="F17" s="1572"/>
      <c r="G17" s="1572"/>
      <c r="H17" s="1572"/>
      <c r="I17" s="1572"/>
      <c r="J17" s="1572"/>
      <c r="K17" s="1572"/>
      <c r="L17" s="1572"/>
      <c r="M17" s="1573"/>
      <c r="N17" s="3"/>
      <c r="O17" s="4"/>
      <c r="P17" s="4"/>
      <c r="Q17" s="4"/>
      <c r="R17" s="4"/>
      <c r="S17" s="4"/>
      <c r="T17" s="4"/>
    </row>
    <row r="18" spans="1:20" ht="20.25" customHeight="1" thickBot="1" x14ac:dyDescent="0.4">
      <c r="A18" s="1574" t="s">
        <v>14</v>
      </c>
      <c r="B18" s="1575"/>
      <c r="C18" s="1575"/>
      <c r="D18" s="1575"/>
      <c r="E18" s="1575"/>
      <c r="F18" s="1575"/>
      <c r="G18" s="1575"/>
      <c r="H18" s="1575"/>
      <c r="I18" s="1575"/>
      <c r="J18" s="1575"/>
      <c r="K18" s="1575"/>
      <c r="L18" s="1575"/>
      <c r="M18" s="1576"/>
      <c r="N18" s="3"/>
      <c r="O18" s="4"/>
      <c r="P18" s="4"/>
      <c r="Q18" s="4"/>
      <c r="R18" s="4"/>
      <c r="S18" s="4"/>
      <c r="T18" s="4"/>
    </row>
    <row r="19" spans="1:20" s="225" customFormat="1" ht="24" customHeight="1" x14ac:dyDescent="0.3">
      <c r="A19" s="586" t="s">
        <v>15</v>
      </c>
      <c r="B19" s="587" t="s">
        <v>16</v>
      </c>
      <c r="C19" s="588"/>
      <c r="D19" s="589"/>
      <c r="E19" s="590"/>
      <c r="F19" s="591"/>
      <c r="G19" s="592"/>
      <c r="H19" s="593"/>
      <c r="I19" s="625"/>
      <c r="J19" s="625"/>
      <c r="K19" s="594"/>
      <c r="L19" s="595"/>
      <c r="M19" s="596"/>
      <c r="N19" s="486"/>
      <c r="O19" s="486"/>
      <c r="P19" s="486"/>
      <c r="Q19" s="486"/>
      <c r="R19" s="486"/>
      <c r="S19" s="486"/>
      <c r="T19" s="486"/>
    </row>
    <row r="20" spans="1:20" s="225" customFormat="1" ht="14.25" customHeight="1" x14ac:dyDescent="0.25">
      <c r="A20" s="597"/>
      <c r="B20" s="487" t="s">
        <v>17</v>
      </c>
      <c r="C20" s="1547" t="s">
        <v>504</v>
      </c>
      <c r="D20" s="1548"/>
      <c r="E20" s="1548"/>
      <c r="F20" s="1548"/>
      <c r="G20" s="1548"/>
      <c r="H20" s="1548"/>
      <c r="I20" s="1548"/>
      <c r="J20" s="1548"/>
      <c r="K20" s="1548"/>
      <c r="L20" s="1548"/>
      <c r="M20" s="1549"/>
      <c r="N20" s="486"/>
      <c r="O20" s="486"/>
      <c r="P20" s="486"/>
      <c r="Q20" s="486"/>
      <c r="R20" s="486"/>
      <c r="S20" s="486"/>
      <c r="T20" s="486"/>
    </row>
    <row r="21" spans="1:20" s="225" customFormat="1" ht="14.25" customHeight="1" x14ac:dyDescent="0.25">
      <c r="A21" s="597"/>
      <c r="B21" s="487" t="s">
        <v>18</v>
      </c>
      <c r="C21" s="1550" t="s">
        <v>19</v>
      </c>
      <c r="D21" s="1548"/>
      <c r="E21" s="1548"/>
      <c r="F21" s="1548"/>
      <c r="G21" s="1548"/>
      <c r="H21" s="1548"/>
      <c r="I21" s="1548"/>
      <c r="J21" s="1548"/>
      <c r="K21" s="1548"/>
      <c r="L21" s="1548"/>
      <c r="M21" s="1549"/>
      <c r="N21" s="486"/>
      <c r="O21" s="486"/>
      <c r="P21" s="486"/>
      <c r="Q21" s="486"/>
      <c r="R21" s="486"/>
      <c r="S21" s="486"/>
      <c r="T21" s="486"/>
    </row>
    <row r="22" spans="1:20" s="225" customFormat="1" ht="24" customHeight="1" x14ac:dyDescent="0.3">
      <c r="A22" s="598" t="s">
        <v>20</v>
      </c>
      <c r="B22" s="488" t="s">
        <v>21</v>
      </c>
      <c r="C22" s="488"/>
      <c r="D22" s="234"/>
      <c r="E22" s="235"/>
      <c r="F22" s="236"/>
      <c r="G22" s="237"/>
      <c r="H22" s="238"/>
      <c r="I22" s="626"/>
      <c r="J22" s="626"/>
      <c r="K22" s="239"/>
      <c r="L22" s="240"/>
      <c r="M22" s="599"/>
      <c r="N22" s="486"/>
      <c r="O22" s="486"/>
      <c r="P22" s="486"/>
      <c r="Q22" s="486"/>
      <c r="R22" s="486"/>
      <c r="S22" s="486"/>
      <c r="T22" s="486"/>
    </row>
    <row r="23" spans="1:20" s="225" customFormat="1" ht="54" customHeight="1" x14ac:dyDescent="0.25">
      <c r="A23" s="600"/>
      <c r="B23" s="487" t="s">
        <v>17</v>
      </c>
      <c r="C23" s="1547" t="s">
        <v>505</v>
      </c>
      <c r="D23" s="1548"/>
      <c r="E23" s="1548"/>
      <c r="F23" s="1548"/>
      <c r="G23" s="1548"/>
      <c r="H23" s="1548"/>
      <c r="I23" s="1548"/>
      <c r="J23" s="1548"/>
      <c r="K23" s="1548"/>
      <c r="L23" s="1548"/>
      <c r="M23" s="1549"/>
      <c r="N23" s="486"/>
      <c r="O23" s="486"/>
      <c r="P23" s="486"/>
      <c r="Q23" s="486"/>
      <c r="R23" s="486"/>
      <c r="S23" s="486"/>
      <c r="T23" s="486"/>
    </row>
    <row r="24" spans="1:20" s="225" customFormat="1" ht="44.25" customHeight="1" x14ac:dyDescent="0.25">
      <c r="A24" s="597"/>
      <c r="B24" s="487" t="s">
        <v>18</v>
      </c>
      <c r="C24" s="1550" t="s">
        <v>506</v>
      </c>
      <c r="D24" s="1548"/>
      <c r="E24" s="1548"/>
      <c r="F24" s="1548"/>
      <c r="G24" s="1548"/>
      <c r="H24" s="1548"/>
      <c r="I24" s="1548"/>
      <c r="J24" s="1548"/>
      <c r="K24" s="1548"/>
      <c r="L24" s="1548"/>
      <c r="M24" s="1549"/>
      <c r="N24" s="486"/>
      <c r="O24" s="486"/>
      <c r="P24" s="486"/>
      <c r="Q24" s="486"/>
      <c r="R24" s="486"/>
      <c r="S24" s="486"/>
      <c r="T24" s="486"/>
    </row>
    <row r="25" spans="1:20" s="225" customFormat="1" ht="54" customHeight="1" x14ac:dyDescent="0.25">
      <c r="A25" s="598" t="s">
        <v>23</v>
      </c>
      <c r="B25" s="1551" t="s">
        <v>521</v>
      </c>
      <c r="C25" s="1548"/>
      <c r="D25" s="1548"/>
      <c r="E25" s="1548"/>
      <c r="F25" s="1548"/>
      <c r="G25" s="1548"/>
      <c r="H25" s="1548"/>
      <c r="I25" s="1548"/>
      <c r="J25" s="1548"/>
      <c r="K25" s="1548"/>
      <c r="L25" s="1548"/>
      <c r="M25" s="1549"/>
      <c r="N25" s="486"/>
      <c r="O25" s="486"/>
      <c r="P25" s="486"/>
      <c r="Q25" s="486"/>
      <c r="R25" s="486"/>
      <c r="S25" s="486"/>
      <c r="T25" s="486"/>
    </row>
    <row r="26" spans="1:20" s="225" customFormat="1" ht="46.5" customHeight="1" x14ac:dyDescent="0.25">
      <c r="A26" s="598" t="s">
        <v>24</v>
      </c>
      <c r="B26" s="1552" t="s">
        <v>507</v>
      </c>
      <c r="C26" s="1548"/>
      <c r="D26" s="1548"/>
      <c r="E26" s="1548"/>
      <c r="F26" s="1548"/>
      <c r="G26" s="1548"/>
      <c r="H26" s="1548"/>
      <c r="I26" s="1548"/>
      <c r="J26" s="1548"/>
      <c r="K26" s="1548"/>
      <c r="L26" s="1548"/>
      <c r="M26" s="1549"/>
      <c r="N26" s="486"/>
      <c r="O26" s="486"/>
      <c r="P26" s="486"/>
      <c r="Q26" s="486"/>
      <c r="R26" s="486"/>
      <c r="S26" s="486"/>
      <c r="T26" s="486"/>
    </row>
    <row r="27" spans="1:20" s="225" customFormat="1" ht="33" customHeight="1" thickBot="1" x14ac:dyDescent="0.3">
      <c r="A27" s="601" t="s">
        <v>25</v>
      </c>
      <c r="B27" s="1553" t="s">
        <v>508</v>
      </c>
      <c r="C27" s="1554"/>
      <c r="D27" s="1554"/>
      <c r="E27" s="1554"/>
      <c r="F27" s="1554"/>
      <c r="G27" s="1554"/>
      <c r="H27" s="1554"/>
      <c r="I27" s="1554"/>
      <c r="J27" s="1554"/>
      <c r="K27" s="1554"/>
      <c r="L27" s="1554"/>
      <c r="M27" s="1555"/>
      <c r="N27" s="486"/>
      <c r="O27" s="486"/>
      <c r="P27" s="486"/>
      <c r="Q27" s="486"/>
      <c r="R27" s="486"/>
      <c r="S27" s="486"/>
      <c r="T27" s="486"/>
    </row>
    <row r="28" spans="1:20" ht="42" customHeight="1" thickBot="1" x14ac:dyDescent="0.55000000000000004">
      <c r="A28" s="1556" t="s">
        <v>26</v>
      </c>
      <c r="B28" s="1544"/>
      <c r="C28" s="1544"/>
      <c r="D28" s="1544"/>
      <c r="E28" s="1544"/>
      <c r="F28" s="1544"/>
      <c r="G28" s="1545"/>
      <c r="H28" s="1557" t="s">
        <v>29</v>
      </c>
      <c r="I28" s="1544"/>
      <c r="J28" s="1545"/>
      <c r="K28" s="830"/>
      <c r="L28" s="831" t="s">
        <v>30</v>
      </c>
      <c r="M28" s="860" t="s">
        <v>31</v>
      </c>
      <c r="N28" s="3"/>
      <c r="O28" s="4"/>
      <c r="P28" s="4"/>
      <c r="Q28" s="4"/>
      <c r="R28" s="4"/>
      <c r="S28" s="4"/>
      <c r="T28" s="4"/>
    </row>
    <row r="29" spans="1:20" ht="18.75" customHeight="1" x14ac:dyDescent="0.35">
      <c r="A29" s="602"/>
      <c r="B29" s="603"/>
      <c r="C29" s="603"/>
      <c r="D29" s="603"/>
      <c r="E29" s="604"/>
      <c r="F29" s="605"/>
      <c r="G29" s="606" t="s">
        <v>32</v>
      </c>
      <c r="H29" s="1558" t="str">
        <f>IF(AND(OR(A44="x",A44="p"),OR(A45="x",A45="p"),OR(A47="x",A47="p"),OR(A48="x",A48="p"),OR(A49="x",A49="p"),OR(A51="x",A51="p"),OR(A53="x",A53="p"),OR(A54="x",A54="p"),OR(A55="x",A55="p"),OR(A56="x",A56="p"),OR(A59="x",A59="p"),OR(A60="x",A60="p"), OR(A63="x", A63="p"), OR(A65="x", A65="p")),"All Complete","NOT COMPLETE")</f>
        <v>NOT COMPLETE</v>
      </c>
      <c r="I29" s="1559"/>
      <c r="J29" s="1560"/>
      <c r="K29" s="607"/>
      <c r="L29" s="607" t="s">
        <v>33</v>
      </c>
      <c r="M29" s="608" t="s">
        <v>33</v>
      </c>
      <c r="N29" s="3"/>
      <c r="O29" s="4"/>
      <c r="P29" s="4"/>
      <c r="Q29" s="4"/>
      <c r="R29" s="4"/>
      <c r="S29" s="4"/>
      <c r="T29" s="4"/>
    </row>
    <row r="30" spans="1:20" ht="17.25" customHeight="1" x14ac:dyDescent="0.35">
      <c r="A30" s="861"/>
      <c r="B30" s="862"/>
      <c r="C30" s="862"/>
      <c r="D30" s="862"/>
      <c r="E30" s="863"/>
      <c r="F30" s="864"/>
      <c r="G30" s="865" t="s">
        <v>633</v>
      </c>
      <c r="H30" s="1537">
        <f>I141</f>
        <v>0</v>
      </c>
      <c r="I30" s="1538"/>
      <c r="J30" s="1539"/>
      <c r="K30" s="866"/>
      <c r="L30" s="867">
        <f>K141</f>
        <v>0</v>
      </c>
      <c r="M30" s="868">
        <f>J141</f>
        <v>0</v>
      </c>
      <c r="N30" s="7"/>
      <c r="O30" s="5"/>
      <c r="P30" s="5"/>
      <c r="Q30" s="5"/>
      <c r="R30" s="5"/>
      <c r="S30" s="5"/>
      <c r="T30" s="5"/>
    </row>
    <row r="31" spans="1:20" ht="17.25" customHeight="1" x14ac:dyDescent="0.35">
      <c r="A31" s="609"/>
      <c r="B31" s="241"/>
      <c r="C31" s="241"/>
      <c r="D31" s="241"/>
      <c r="E31" s="242"/>
      <c r="F31" s="243"/>
      <c r="G31" s="244" t="s">
        <v>35</v>
      </c>
      <c r="H31" s="1534">
        <f>I191</f>
        <v>0</v>
      </c>
      <c r="I31" s="1535"/>
      <c r="J31" s="1536"/>
      <c r="K31" s="245"/>
      <c r="L31" s="429">
        <f>K191</f>
        <v>0</v>
      </c>
      <c r="M31" s="610">
        <f>J191</f>
        <v>0</v>
      </c>
      <c r="N31" s="7"/>
      <c r="O31" s="5"/>
      <c r="P31" s="5"/>
      <c r="Q31" s="5"/>
      <c r="R31" s="5"/>
      <c r="S31" s="5"/>
      <c r="T31" s="5"/>
    </row>
    <row r="32" spans="1:20" ht="17.25" customHeight="1" x14ac:dyDescent="0.35">
      <c r="A32" s="861"/>
      <c r="B32" s="862"/>
      <c r="C32" s="862"/>
      <c r="D32" s="862"/>
      <c r="E32" s="863"/>
      <c r="F32" s="864"/>
      <c r="G32" s="865" t="s">
        <v>647</v>
      </c>
      <c r="H32" s="1537">
        <f>I277</f>
        <v>0</v>
      </c>
      <c r="I32" s="1538"/>
      <c r="J32" s="1539"/>
      <c r="K32" s="866"/>
      <c r="L32" s="867">
        <f>K277</f>
        <v>0</v>
      </c>
      <c r="M32" s="869">
        <f>J277</f>
        <v>0</v>
      </c>
      <c r="N32" s="7"/>
      <c r="O32" s="5"/>
      <c r="P32" s="5"/>
      <c r="Q32" s="5"/>
      <c r="R32" s="5"/>
      <c r="S32" s="5"/>
      <c r="T32" s="5"/>
    </row>
    <row r="33" spans="1:20" ht="17.25" customHeight="1" x14ac:dyDescent="0.35">
      <c r="A33" s="609"/>
      <c r="B33" s="241"/>
      <c r="C33" s="241"/>
      <c r="D33" s="241"/>
      <c r="E33" s="242"/>
      <c r="F33" s="243"/>
      <c r="G33" s="244" t="s">
        <v>36</v>
      </c>
      <c r="H33" s="1534">
        <f>I328</f>
        <v>0</v>
      </c>
      <c r="I33" s="1535"/>
      <c r="J33" s="1536"/>
      <c r="K33" s="245"/>
      <c r="L33" s="429">
        <f>K328</f>
        <v>0</v>
      </c>
      <c r="M33" s="610">
        <f>J328</f>
        <v>0</v>
      </c>
      <c r="N33" s="7"/>
      <c r="O33" s="5"/>
      <c r="P33" s="5"/>
      <c r="Q33" s="5"/>
      <c r="R33" s="5"/>
      <c r="S33" s="5"/>
      <c r="T33" s="5"/>
    </row>
    <row r="34" spans="1:20" ht="17.25" customHeight="1" x14ac:dyDescent="0.35">
      <c r="A34" s="870"/>
      <c r="B34" s="871"/>
      <c r="C34" s="871"/>
      <c r="D34" s="871"/>
      <c r="E34" s="872"/>
      <c r="F34" s="873"/>
      <c r="G34" s="865" t="s">
        <v>37</v>
      </c>
      <c r="H34" s="1537">
        <f>I381</f>
        <v>0</v>
      </c>
      <c r="I34" s="1538"/>
      <c r="J34" s="1539"/>
      <c r="K34" s="866"/>
      <c r="L34" s="867">
        <f>K381</f>
        <v>0</v>
      </c>
      <c r="M34" s="869">
        <f>J381</f>
        <v>0</v>
      </c>
      <c r="N34" s="7"/>
      <c r="O34" s="5"/>
      <c r="P34" s="5"/>
      <c r="Q34" s="5"/>
      <c r="R34" s="5"/>
      <c r="S34" s="5"/>
      <c r="T34" s="5"/>
    </row>
    <row r="35" spans="1:20" ht="17.25" customHeight="1" x14ac:dyDescent="0.35">
      <c r="A35" s="611"/>
      <c r="B35" s="246"/>
      <c r="C35" s="246"/>
      <c r="D35" s="246"/>
      <c r="E35" s="235"/>
      <c r="F35" s="247"/>
      <c r="G35" s="244" t="s">
        <v>487</v>
      </c>
      <c r="H35" s="1534">
        <f>I437</f>
        <v>0</v>
      </c>
      <c r="I35" s="1535"/>
      <c r="J35" s="1536"/>
      <c r="K35" s="245"/>
      <c r="L35" s="429">
        <f>K437</f>
        <v>0</v>
      </c>
      <c r="M35" s="610">
        <f>J437</f>
        <v>0</v>
      </c>
      <c r="N35" s="3"/>
      <c r="O35" s="4"/>
      <c r="P35" s="4"/>
      <c r="Q35" s="4"/>
      <c r="R35" s="4"/>
      <c r="S35" s="4"/>
      <c r="T35" s="4"/>
    </row>
    <row r="36" spans="1:20" ht="17.25" customHeight="1" x14ac:dyDescent="0.35">
      <c r="A36" s="870"/>
      <c r="B36" s="871"/>
      <c r="C36" s="871"/>
      <c r="D36" s="871"/>
      <c r="E36" s="872"/>
      <c r="F36" s="873"/>
      <c r="G36" s="865" t="s">
        <v>656</v>
      </c>
      <c r="H36" s="1537">
        <f>I514</f>
        <v>0</v>
      </c>
      <c r="I36" s="1538"/>
      <c r="J36" s="1539"/>
      <c r="K36" s="866"/>
      <c r="L36" s="867">
        <f>K514</f>
        <v>0</v>
      </c>
      <c r="M36" s="869">
        <f>J514</f>
        <v>0</v>
      </c>
      <c r="N36" s="3"/>
      <c r="O36" s="4"/>
      <c r="P36" s="4"/>
      <c r="Q36" s="4"/>
      <c r="R36" s="4"/>
      <c r="S36" s="4"/>
      <c r="T36" s="4"/>
    </row>
    <row r="37" spans="1:20" ht="20.25" customHeight="1" thickBot="1" x14ac:dyDescent="0.4">
      <c r="A37" s="612"/>
      <c r="B37" s="613"/>
      <c r="C37" s="613"/>
      <c r="D37" s="613"/>
      <c r="E37" s="614"/>
      <c r="F37" s="615"/>
      <c r="G37" s="616" t="s">
        <v>38</v>
      </c>
      <c r="H37" s="1540">
        <f>I548</f>
        <v>0</v>
      </c>
      <c r="I37" s="1541"/>
      <c r="J37" s="1542"/>
      <c r="K37" s="617"/>
      <c r="L37" s="618">
        <f>K548</f>
        <v>0</v>
      </c>
      <c r="M37" s="619">
        <f>J548</f>
        <v>0</v>
      </c>
      <c r="N37" s="3"/>
      <c r="O37" s="4"/>
      <c r="P37" s="4"/>
      <c r="Q37" s="4"/>
      <c r="R37" s="4"/>
      <c r="S37" s="4"/>
      <c r="T37" s="4"/>
    </row>
    <row r="38" spans="1:20" ht="26.25" customHeight="1" thickBot="1" x14ac:dyDescent="0.55000000000000004">
      <c r="A38" s="1546" t="s">
        <v>39</v>
      </c>
      <c r="B38" s="1544"/>
      <c r="C38" s="1544"/>
      <c r="D38" s="1544"/>
      <c r="E38" s="1544"/>
      <c r="F38" s="1544"/>
      <c r="G38" s="1545"/>
      <c r="H38" s="1543">
        <f>SUM(H30:J37)</f>
        <v>0</v>
      </c>
      <c r="I38" s="1544"/>
      <c r="J38" s="1545"/>
      <c r="K38" s="832"/>
      <c r="L38" s="833">
        <f>SUM(L30:L37)</f>
        <v>0</v>
      </c>
      <c r="M38" s="834">
        <f>SUM(M30:M37)</f>
        <v>0</v>
      </c>
      <c r="N38" s="3"/>
      <c r="O38" s="4"/>
      <c r="P38" s="4"/>
      <c r="Q38" s="4"/>
      <c r="R38" s="4"/>
      <c r="S38" s="4"/>
      <c r="T38" s="4"/>
    </row>
    <row r="39" spans="1:20" s="251" customFormat="1" ht="30.75" customHeight="1" x14ac:dyDescent="0.3">
      <c r="A39" s="1510" t="s">
        <v>657</v>
      </c>
      <c r="B39" s="1511"/>
      <c r="C39" s="1511"/>
      <c r="D39" s="1511"/>
      <c r="E39" s="1511"/>
      <c r="F39" s="1511"/>
      <c r="G39" s="1511"/>
      <c r="H39" s="1511"/>
      <c r="I39" s="1511"/>
      <c r="J39" s="1511"/>
      <c r="K39" s="620"/>
      <c r="L39" s="1496" t="s">
        <v>658</v>
      </c>
      <c r="M39" s="1497"/>
      <c r="N39" s="6"/>
      <c r="O39" s="6"/>
      <c r="P39" s="6"/>
      <c r="Q39" s="6"/>
      <c r="R39" s="6"/>
      <c r="S39" s="6"/>
      <c r="T39" s="6"/>
    </row>
    <row r="40" spans="1:20" s="251" customFormat="1" ht="21" customHeight="1" x14ac:dyDescent="0.3">
      <c r="A40" s="1512"/>
      <c r="B40" s="1513"/>
      <c r="C40" s="1513"/>
      <c r="D40" s="1513"/>
      <c r="E40" s="1513"/>
      <c r="F40" s="1513"/>
      <c r="G40" s="1513"/>
      <c r="H40" s="1513"/>
      <c r="I40" s="1513"/>
      <c r="J40" s="1513"/>
      <c r="K40" s="252"/>
      <c r="L40" s="1498"/>
      <c r="M40" s="1499"/>
      <c r="N40" s="3"/>
      <c r="O40" s="3"/>
      <c r="P40" s="3"/>
      <c r="Q40" s="3"/>
      <c r="R40" s="3"/>
      <c r="S40" s="3"/>
      <c r="T40" s="3"/>
    </row>
    <row r="41" spans="1:20" s="251" customFormat="1" ht="24.75" customHeight="1" thickBot="1" x14ac:dyDescent="0.35">
      <c r="A41" s="1514"/>
      <c r="B41" s="1515"/>
      <c r="C41" s="1515"/>
      <c r="D41" s="1515"/>
      <c r="E41" s="1515"/>
      <c r="F41" s="1515"/>
      <c r="G41" s="1515"/>
      <c r="H41" s="1515"/>
      <c r="I41" s="1515"/>
      <c r="J41" s="1515"/>
      <c r="K41" s="621"/>
      <c r="L41" s="1500"/>
      <c r="M41" s="1501"/>
      <c r="N41" s="3"/>
      <c r="O41" s="3"/>
      <c r="P41" s="3"/>
      <c r="Q41" s="3"/>
      <c r="R41" s="3"/>
      <c r="S41" s="3"/>
      <c r="T41" s="3"/>
    </row>
    <row r="42" spans="1:20" ht="18.75" customHeight="1" thickBot="1" x14ac:dyDescent="0.4">
      <c r="A42" s="1502" t="s">
        <v>41</v>
      </c>
      <c r="B42" s="1503"/>
      <c r="C42" s="1503"/>
      <c r="D42" s="1503"/>
      <c r="E42" s="1503"/>
      <c r="F42" s="1503"/>
      <c r="G42" s="1503"/>
      <c r="H42" s="1503"/>
      <c r="I42" s="1503"/>
      <c r="J42" s="1503"/>
      <c r="K42" s="1503"/>
      <c r="L42" s="1503"/>
      <c r="M42" s="1504"/>
      <c r="N42" s="3"/>
      <c r="O42" s="4"/>
      <c r="P42" s="4"/>
      <c r="Q42" s="4"/>
      <c r="R42" s="4"/>
      <c r="S42" s="4"/>
      <c r="T42" s="4"/>
    </row>
    <row r="43" spans="1:20" ht="27" customHeight="1" thickBot="1" x14ac:dyDescent="0.55000000000000004">
      <c r="A43" s="835"/>
      <c r="B43" s="1505" t="s">
        <v>482</v>
      </c>
      <c r="C43" s="1506"/>
      <c r="D43" s="1506"/>
      <c r="E43" s="1506"/>
      <c r="F43" s="1506"/>
      <c r="G43" s="1506"/>
      <c r="H43" s="1507"/>
      <c r="I43" s="1508" t="s">
        <v>42</v>
      </c>
      <c r="J43" s="1509"/>
      <c r="K43" s="552"/>
      <c r="L43" s="553" t="s">
        <v>43</v>
      </c>
      <c r="M43" s="578" t="s">
        <v>44</v>
      </c>
      <c r="N43" s="3"/>
      <c r="O43" s="4"/>
      <c r="P43" s="4"/>
      <c r="Q43" s="4"/>
      <c r="R43" s="4"/>
      <c r="S43" s="4"/>
      <c r="T43" s="4"/>
    </row>
    <row r="44" spans="1:20" s="251" customFormat="1" ht="50" x14ac:dyDescent="0.3">
      <c r="A44" s="278"/>
      <c r="B44" s="17">
        <v>1</v>
      </c>
      <c r="C44" s="1524" t="s">
        <v>45</v>
      </c>
      <c r="D44" s="1525"/>
      <c r="E44" s="1525"/>
      <c r="F44" s="1525"/>
      <c r="G44" s="1525"/>
      <c r="H44" s="1526"/>
      <c r="I44" s="1527" t="s">
        <v>46</v>
      </c>
      <c r="J44" s="1528"/>
      <c r="K44" s="259"/>
      <c r="L44" s="125" t="s">
        <v>47</v>
      </c>
      <c r="M44" s="275"/>
      <c r="N44" s="206"/>
      <c r="O44" s="209" t="s">
        <v>48</v>
      </c>
      <c r="P44" s="208"/>
      <c r="Q44" s="208"/>
      <c r="R44" s="208"/>
      <c r="S44" s="208"/>
      <c r="T44" s="208"/>
    </row>
    <row r="45" spans="1:20" s="251" customFormat="1" ht="14.25" customHeight="1" x14ac:dyDescent="0.3">
      <c r="A45" s="1516"/>
      <c r="B45" s="1517">
        <v>2</v>
      </c>
      <c r="C45" s="1261" t="s">
        <v>685</v>
      </c>
      <c r="D45" s="1486"/>
      <c r="E45" s="1486"/>
      <c r="F45" s="1486"/>
      <c r="G45" s="1486"/>
      <c r="H45" s="1487"/>
      <c r="I45" s="1490" t="s">
        <v>46</v>
      </c>
      <c r="J45" s="1491"/>
      <c r="K45" s="1128"/>
      <c r="L45" s="1027" t="s">
        <v>49</v>
      </c>
      <c r="M45" s="1350"/>
      <c r="N45" s="206"/>
      <c r="O45" s="253" t="s">
        <v>22</v>
      </c>
      <c r="P45" s="194"/>
      <c r="Q45" s="194"/>
      <c r="R45" s="194"/>
      <c r="S45" s="194"/>
      <c r="T45" s="194"/>
    </row>
    <row r="46" spans="1:20" s="251" customFormat="1" ht="58.5" customHeight="1" x14ac:dyDescent="0.3">
      <c r="A46" s="1091"/>
      <c r="B46" s="1518"/>
      <c r="C46" s="1529"/>
      <c r="D46" s="1530"/>
      <c r="E46" s="1530"/>
      <c r="F46" s="1530"/>
      <c r="G46" s="1530"/>
      <c r="H46" s="1531"/>
      <c r="I46" s="1473"/>
      <c r="J46" s="1494"/>
      <c r="K46" s="1480"/>
      <c r="L46" s="1480"/>
      <c r="M46" s="1352"/>
      <c r="N46" s="206"/>
      <c r="O46" s="254" t="str">
        <f>HYPERLINK("https://www.ncdoi.com/OSFM/Engineering_and_Codes/Documents/2012_NCBuildingCode_amendments/2012NCEnergyConservation101214RRCOSBM.pdf","NC HERO Code- see page 115")</f>
        <v>NC HERO Code- see page 115</v>
      </c>
      <c r="P46" s="206"/>
      <c r="Q46" s="206"/>
      <c r="R46" s="206"/>
      <c r="S46" s="206"/>
      <c r="T46" s="206"/>
    </row>
    <row r="47" spans="1:20" s="251" customFormat="1" ht="49" customHeight="1" x14ac:dyDescent="0.3">
      <c r="A47" s="279"/>
      <c r="B47" s="19">
        <v>3</v>
      </c>
      <c r="C47" s="1025" t="s">
        <v>686</v>
      </c>
      <c r="D47" s="1484"/>
      <c r="E47" s="1484"/>
      <c r="F47" s="1484"/>
      <c r="G47" s="1484"/>
      <c r="H47" s="1485"/>
      <c r="I47" s="1488" t="s">
        <v>46</v>
      </c>
      <c r="J47" s="1489"/>
      <c r="K47" s="260"/>
      <c r="L47" s="18" t="s">
        <v>50</v>
      </c>
      <c r="M47" s="785"/>
      <c r="N47" s="206"/>
      <c r="O47" s="209" t="s">
        <v>51</v>
      </c>
      <c r="P47" s="208"/>
      <c r="Q47" s="208"/>
      <c r="R47" s="208"/>
      <c r="S47" s="208"/>
      <c r="T47" s="208"/>
    </row>
    <row r="48" spans="1:20" s="251" customFormat="1" ht="75.75" customHeight="1" x14ac:dyDescent="0.3">
      <c r="A48" s="280"/>
      <c r="B48" s="19">
        <v>4</v>
      </c>
      <c r="C48" s="1249" t="s">
        <v>510</v>
      </c>
      <c r="D48" s="1532"/>
      <c r="E48" s="1532"/>
      <c r="F48" s="1532"/>
      <c r="G48" s="1532"/>
      <c r="H48" s="1533"/>
      <c r="I48" s="1488" t="s">
        <v>46</v>
      </c>
      <c r="J48" s="1489"/>
      <c r="K48" s="260"/>
      <c r="L48" s="18" t="s">
        <v>52</v>
      </c>
      <c r="M48" s="276"/>
      <c r="N48" s="206"/>
      <c r="O48" s="274" t="s">
        <v>461</v>
      </c>
      <c r="P48" s="212"/>
      <c r="Q48" s="212"/>
      <c r="R48" s="212"/>
      <c r="S48" s="212"/>
      <c r="T48" s="212"/>
    </row>
    <row r="49" spans="1:20" s="251" customFormat="1" ht="32.25" customHeight="1" x14ac:dyDescent="0.3">
      <c r="A49" s="1516"/>
      <c r="B49" s="1517">
        <v>5</v>
      </c>
      <c r="C49" s="1250" t="s">
        <v>53</v>
      </c>
      <c r="D49" s="1519"/>
      <c r="E49" s="1519"/>
      <c r="F49" s="1519"/>
      <c r="G49" s="1519"/>
      <c r="H49" s="1520"/>
      <c r="I49" s="1490" t="s">
        <v>46</v>
      </c>
      <c r="J49" s="1491"/>
      <c r="K49" s="260"/>
      <c r="L49" s="1027" t="s">
        <v>54</v>
      </c>
      <c r="M49" s="1350"/>
      <c r="N49" s="206"/>
      <c r="O49" s="209" t="s">
        <v>55</v>
      </c>
      <c r="P49" s="208"/>
      <c r="Q49" s="208"/>
      <c r="R49" s="208"/>
      <c r="S49" s="208"/>
      <c r="T49" s="208"/>
    </row>
    <row r="50" spans="1:20" s="251" customFormat="1" ht="23.25" customHeight="1" x14ac:dyDescent="0.3">
      <c r="A50" s="1091"/>
      <c r="B50" s="1518"/>
      <c r="C50" s="1521"/>
      <c r="D50" s="1522"/>
      <c r="E50" s="1522"/>
      <c r="F50" s="1522"/>
      <c r="G50" s="1522"/>
      <c r="H50" s="1523"/>
      <c r="I50" s="1473"/>
      <c r="J50" s="1494"/>
      <c r="K50" s="260"/>
      <c r="L50" s="1480"/>
      <c r="M50" s="1090"/>
      <c r="N50" s="206"/>
      <c r="O50" s="1045"/>
      <c r="P50" s="1022"/>
      <c r="Q50" s="1022"/>
      <c r="R50" s="1022"/>
      <c r="S50" s="206"/>
      <c r="T50" s="206"/>
    </row>
    <row r="51" spans="1:20" s="251" customFormat="1" ht="14" x14ac:dyDescent="0.3">
      <c r="A51" s="1516"/>
      <c r="B51" s="1517">
        <v>6</v>
      </c>
      <c r="C51" s="1250" t="s">
        <v>614</v>
      </c>
      <c r="D51" s="1519"/>
      <c r="E51" s="1519"/>
      <c r="F51" s="1519"/>
      <c r="G51" s="1519"/>
      <c r="H51" s="1520"/>
      <c r="I51" s="1490" t="s">
        <v>46</v>
      </c>
      <c r="J51" s="1491"/>
      <c r="K51" s="260"/>
      <c r="L51" s="1027" t="s">
        <v>538</v>
      </c>
      <c r="M51" s="1056"/>
      <c r="N51" s="206"/>
      <c r="O51" s="209" t="str">
        <f>HYPERLINK("https://www.nrel.gov/docs/fy03osti/26458.pdf","Whole House Ventilation System DOE Factsheet")</f>
        <v>Whole House Ventilation System DOE Factsheet</v>
      </c>
      <c r="P51" s="208"/>
      <c r="Q51" s="208"/>
      <c r="R51" s="208"/>
      <c r="S51" s="208"/>
      <c r="T51" s="208"/>
    </row>
    <row r="52" spans="1:20" s="251" customFormat="1" ht="24" customHeight="1" x14ac:dyDescent="0.3">
      <c r="A52" s="1091"/>
      <c r="B52" s="1518"/>
      <c r="C52" s="1521"/>
      <c r="D52" s="1522"/>
      <c r="E52" s="1522"/>
      <c r="F52" s="1522"/>
      <c r="G52" s="1522"/>
      <c r="H52" s="1523"/>
      <c r="I52" s="1473"/>
      <c r="J52" s="1494"/>
      <c r="K52" s="260"/>
      <c r="L52" s="1480"/>
      <c r="M52" s="1091"/>
      <c r="N52" s="206"/>
      <c r="O52" s="254" t="str">
        <f>HYPERLINK("https://www.energystar.gov/sites/default/files/asset/document/National%20HVAC%20Design%20Report%20ENERGY%20STAR%20Certified%20Homes_Rev10.pdf","Energy Star HVAC Design Report")</f>
        <v>Energy Star HVAC Design Report</v>
      </c>
      <c r="P52" s="206"/>
      <c r="Q52" s="206"/>
      <c r="R52" s="206"/>
      <c r="S52" s="206"/>
      <c r="T52" s="206"/>
    </row>
    <row r="53" spans="1:20" s="251" customFormat="1" ht="90.75" customHeight="1" x14ac:dyDescent="0.3">
      <c r="A53" s="279"/>
      <c r="B53" s="19">
        <v>7</v>
      </c>
      <c r="C53" s="1249" t="s">
        <v>563</v>
      </c>
      <c r="D53" s="1484"/>
      <c r="E53" s="1484"/>
      <c r="F53" s="1484"/>
      <c r="G53" s="1484"/>
      <c r="H53" s="1485"/>
      <c r="I53" s="1488" t="s">
        <v>46</v>
      </c>
      <c r="J53" s="1489"/>
      <c r="K53" s="260"/>
      <c r="L53" s="18" t="s">
        <v>56</v>
      </c>
      <c r="M53" s="785"/>
      <c r="N53" s="206"/>
      <c r="O53" s="254" t="s">
        <v>57</v>
      </c>
      <c r="P53" s="206"/>
      <c r="Q53" s="206"/>
      <c r="R53" s="206"/>
      <c r="S53" s="206"/>
      <c r="T53" s="206"/>
    </row>
    <row r="54" spans="1:20" s="251" customFormat="1" ht="72" customHeight="1" x14ac:dyDescent="0.3">
      <c r="A54" s="278"/>
      <c r="B54" s="268">
        <v>8</v>
      </c>
      <c r="C54" s="1293" t="s">
        <v>418</v>
      </c>
      <c r="D54" s="1486"/>
      <c r="E54" s="1486"/>
      <c r="F54" s="1486"/>
      <c r="G54" s="1486"/>
      <c r="H54" s="1487"/>
      <c r="I54" s="1488" t="s">
        <v>46</v>
      </c>
      <c r="J54" s="1489"/>
      <c r="K54" s="261"/>
      <c r="L54" s="249" t="s">
        <v>58</v>
      </c>
      <c r="M54" s="812"/>
      <c r="N54" s="8"/>
      <c r="O54" s="255" t="str">
        <f>HYPERLINK("https://www1.eere.energy.gov/buildings/publications/pdfs/building_america/26464.pdf","DOE Fact Sheet on Combustion Safety")</f>
        <v>DOE Fact Sheet on Combustion Safety</v>
      </c>
      <c r="P54" s="212"/>
      <c r="Q54" s="212"/>
      <c r="R54" s="212"/>
      <c r="S54" s="212"/>
      <c r="T54" s="212"/>
    </row>
    <row r="55" spans="1:20" s="251" customFormat="1" ht="102.75" customHeight="1" x14ac:dyDescent="0.3">
      <c r="A55" s="279"/>
      <c r="B55" s="19">
        <v>9</v>
      </c>
      <c r="C55" s="1249" t="s">
        <v>419</v>
      </c>
      <c r="D55" s="1484"/>
      <c r="E55" s="1484"/>
      <c r="F55" s="1484"/>
      <c r="G55" s="1484"/>
      <c r="H55" s="1485"/>
      <c r="I55" s="1488" t="s">
        <v>46</v>
      </c>
      <c r="J55" s="1489"/>
      <c r="K55" s="260"/>
      <c r="L55" s="18" t="s">
        <v>58</v>
      </c>
      <c r="M55" s="277"/>
      <c r="N55" s="8"/>
      <c r="O55" s="209" t="str">
        <f>HYPERLINK("https://www.epa.gov/indoor-air-quality-iaq/carbon-monoxides-impact-indoor-air-quality","EPA's Guide to Carbon Monoxide's impact on IAQ")</f>
        <v>EPA's Guide to Carbon Monoxide's impact on IAQ</v>
      </c>
      <c r="P55" s="208"/>
      <c r="Q55" s="208"/>
      <c r="R55" s="208"/>
      <c r="S55" s="208"/>
      <c r="T55" s="208"/>
    </row>
    <row r="56" spans="1:20" s="251" customFormat="1" ht="72" customHeight="1" x14ac:dyDescent="0.3">
      <c r="A56" s="279"/>
      <c r="B56" s="19">
        <v>10</v>
      </c>
      <c r="C56" s="1249" t="s">
        <v>59</v>
      </c>
      <c r="D56" s="1484"/>
      <c r="E56" s="1484"/>
      <c r="F56" s="1484"/>
      <c r="G56" s="1484"/>
      <c r="H56" s="1485"/>
      <c r="I56" s="1488" t="s">
        <v>46</v>
      </c>
      <c r="J56" s="1489"/>
      <c r="K56" s="260"/>
      <c r="L56" s="18" t="s">
        <v>60</v>
      </c>
      <c r="M56" s="277"/>
      <c r="N56" s="206"/>
      <c r="O56" s="1021" t="str">
        <f>HYPERLINK("https://www.greenbuilt.org/wp-content/uploads/2017/08/GarageToHouseWall-1.pdf","Garage to house wall details")</f>
        <v>Garage to house wall details</v>
      </c>
      <c r="P56" s="1022"/>
      <c r="Q56" s="1022"/>
      <c r="R56" s="1022"/>
      <c r="S56" s="206"/>
      <c r="T56" s="206"/>
    </row>
    <row r="57" spans="1:20" s="251" customFormat="1" ht="49.5" customHeight="1" x14ac:dyDescent="0.3">
      <c r="A57" s="279"/>
      <c r="B57" s="19">
        <v>11</v>
      </c>
      <c r="C57" s="1249" t="s">
        <v>564</v>
      </c>
      <c r="D57" s="1484"/>
      <c r="E57" s="1484"/>
      <c r="F57" s="1484"/>
      <c r="G57" s="1484"/>
      <c r="H57" s="1485"/>
      <c r="I57" s="1488" t="s">
        <v>46</v>
      </c>
      <c r="J57" s="1489"/>
      <c r="K57" s="260"/>
      <c r="L57" s="18" t="s">
        <v>60</v>
      </c>
      <c r="M57" s="277"/>
      <c r="N57" s="206"/>
      <c r="O57" s="1045"/>
      <c r="P57" s="1022"/>
      <c r="Q57" s="1022"/>
      <c r="R57" s="1022"/>
      <c r="S57" s="206"/>
      <c r="T57" s="206"/>
    </row>
    <row r="58" spans="1:20" s="497" customFormat="1" ht="30.75" customHeight="1" x14ac:dyDescent="0.3">
      <c r="A58" s="279"/>
      <c r="B58" s="19">
        <v>12</v>
      </c>
      <c r="C58" s="1249" t="s">
        <v>515</v>
      </c>
      <c r="D58" s="1484"/>
      <c r="E58" s="1484"/>
      <c r="F58" s="1484"/>
      <c r="G58" s="1484"/>
      <c r="H58" s="1485"/>
      <c r="I58" s="1488" t="s">
        <v>46</v>
      </c>
      <c r="J58" s="1489"/>
      <c r="K58" s="260"/>
      <c r="L58" s="18" t="s">
        <v>60</v>
      </c>
      <c r="M58" s="277"/>
      <c r="N58" s="499"/>
      <c r="O58" s="1045"/>
      <c r="P58" s="1022"/>
      <c r="Q58" s="1022"/>
      <c r="R58" s="1022"/>
      <c r="S58" s="499"/>
      <c r="T58" s="499"/>
    </row>
    <row r="59" spans="1:20" s="251" customFormat="1" ht="46.5" customHeight="1" x14ac:dyDescent="0.3">
      <c r="A59" s="279"/>
      <c r="B59" s="19">
        <v>13</v>
      </c>
      <c r="C59" s="1249" t="s">
        <v>61</v>
      </c>
      <c r="D59" s="1484"/>
      <c r="E59" s="1484"/>
      <c r="F59" s="1484"/>
      <c r="G59" s="1484"/>
      <c r="H59" s="1485"/>
      <c r="I59" s="1488" t="s">
        <v>46</v>
      </c>
      <c r="J59" s="1489"/>
      <c r="K59" s="260"/>
      <c r="L59" s="18" t="s">
        <v>62</v>
      </c>
      <c r="M59" s="277"/>
      <c r="N59" s="206"/>
      <c r="O59" s="1021" t="str">
        <f>HYPERLINK("https://www.greenbuilt.org/wp-content/uploads/2017/08/WeatherBarriers.pdf","Weather Resistant Barriers DOE Factsheet")</f>
        <v>Weather Resistant Barriers DOE Factsheet</v>
      </c>
      <c r="P59" s="1022"/>
      <c r="Q59" s="1022"/>
      <c r="R59" s="1022"/>
      <c r="S59" s="1022"/>
      <c r="T59" s="13"/>
    </row>
    <row r="60" spans="1:20" s="251" customFormat="1" ht="14.25" customHeight="1" x14ac:dyDescent="0.3">
      <c r="A60" s="1516"/>
      <c r="B60" s="1517">
        <v>14</v>
      </c>
      <c r="C60" s="1250" t="s">
        <v>548</v>
      </c>
      <c r="D60" s="1519"/>
      <c r="E60" s="1519"/>
      <c r="F60" s="1519"/>
      <c r="G60" s="1519"/>
      <c r="H60" s="1520"/>
      <c r="I60" s="1490" t="s">
        <v>46</v>
      </c>
      <c r="J60" s="1491"/>
      <c r="K60" s="1128"/>
      <c r="L60" s="1027" t="s">
        <v>63</v>
      </c>
      <c r="M60" s="1030"/>
      <c r="N60" s="206"/>
      <c r="O60" s="254" t="str">
        <f>HYPERLINK("https://www.epa.gov/radon/radon-resources-builders-and-contractors","EPA's Radon Resources for Contractors")</f>
        <v>EPA's Radon Resources for Contractors</v>
      </c>
      <c r="P60" s="254"/>
      <c r="Q60" s="254"/>
      <c r="R60" s="254"/>
      <c r="S60" s="254"/>
    </row>
    <row r="61" spans="1:20" s="251" customFormat="1" ht="14.25" customHeight="1" x14ac:dyDescent="0.3">
      <c r="A61" s="1031"/>
      <c r="B61" s="1234"/>
      <c r="C61" s="1649"/>
      <c r="D61" s="1650"/>
      <c r="E61" s="1650"/>
      <c r="F61" s="1650"/>
      <c r="G61" s="1650"/>
      <c r="H61" s="1651"/>
      <c r="I61" s="1492"/>
      <c r="J61" s="1493"/>
      <c r="K61" s="1495"/>
      <c r="L61" s="1495"/>
      <c r="M61" s="1031"/>
      <c r="N61" s="206"/>
      <c r="O61" s="254" t="str">
        <f>HYPERLINK("http://ncradon.org/Home.html","List of Radon Measurement Professionals in NC")</f>
        <v>List of Radon Measurement Professionals in NC</v>
      </c>
      <c r="P61" s="206"/>
      <c r="Q61" s="206"/>
      <c r="R61" s="206"/>
      <c r="S61" s="206"/>
    </row>
    <row r="62" spans="1:20" s="251" customFormat="1" ht="45" customHeight="1" x14ac:dyDescent="0.3">
      <c r="A62" s="1091"/>
      <c r="B62" s="1518"/>
      <c r="C62" s="1521"/>
      <c r="D62" s="1522"/>
      <c r="E62" s="1522"/>
      <c r="F62" s="1522"/>
      <c r="G62" s="1522"/>
      <c r="H62" s="1523"/>
      <c r="I62" s="1473"/>
      <c r="J62" s="1494"/>
      <c r="K62" s="1480"/>
      <c r="L62" s="1480"/>
      <c r="M62" s="1091"/>
      <c r="N62" s="206"/>
      <c r="O62" s="699" t="s">
        <v>547</v>
      </c>
      <c r="P62" s="700"/>
      <c r="Q62" s="700"/>
      <c r="R62" s="700"/>
      <c r="S62" s="701"/>
      <c r="T62" s="215"/>
    </row>
    <row r="63" spans="1:20" s="251" customFormat="1" ht="14.25" customHeight="1" x14ac:dyDescent="0.3">
      <c r="A63" s="1516"/>
      <c r="B63" s="1517">
        <v>15</v>
      </c>
      <c r="C63" s="1293" t="s">
        <v>64</v>
      </c>
      <c r="D63" s="1486"/>
      <c r="E63" s="1486"/>
      <c r="F63" s="1486"/>
      <c r="G63" s="1486"/>
      <c r="H63" s="1487"/>
      <c r="I63" s="1490" t="s">
        <v>46</v>
      </c>
      <c r="J63" s="1491"/>
      <c r="K63" s="1128"/>
      <c r="L63" s="1027" t="s">
        <v>65</v>
      </c>
      <c r="M63" s="1350"/>
      <c r="N63" s="206"/>
      <c r="O63" s="254" t="str">
        <f>HYPERLINK("https://deq.nc.gov/about/divisions/energy-mineral-land-resources/energy-mineral-land-permit-guidance/erosion-sediment-control-planning-design-manual","NC DENR Guidelines for Erosion and Sediment Control")</f>
        <v>NC DENR Guidelines for Erosion and Sediment Control</v>
      </c>
      <c r="P63" s="206"/>
      <c r="Q63" s="206"/>
      <c r="R63" s="206"/>
      <c r="S63" s="206"/>
      <c r="T63" s="206"/>
    </row>
    <row r="64" spans="1:20" s="251" customFormat="1" ht="15" customHeight="1" x14ac:dyDescent="0.3">
      <c r="A64" s="1091"/>
      <c r="B64" s="1518"/>
      <c r="C64" s="1529"/>
      <c r="D64" s="1530"/>
      <c r="E64" s="1530"/>
      <c r="F64" s="1530"/>
      <c r="G64" s="1530"/>
      <c r="H64" s="1531"/>
      <c r="I64" s="1473"/>
      <c r="J64" s="1494"/>
      <c r="K64" s="1480"/>
      <c r="L64" s="1480"/>
      <c r="M64" s="1352"/>
      <c r="N64" s="206"/>
      <c r="O64" s="1656" t="str">
        <f>HYPERLINK("http://clean-water.uwex.edu/pubs/pdf/erosion.pdf","Erosion Control for Home Builders")</f>
        <v>Erosion Control for Home Builders</v>
      </c>
      <c r="P64" s="1022"/>
      <c r="Q64" s="1022"/>
      <c r="R64" s="1022"/>
      <c r="S64" s="1022"/>
      <c r="T64" s="256"/>
    </row>
    <row r="65" spans="1:20" s="251" customFormat="1" ht="23.25" customHeight="1" x14ac:dyDescent="0.3">
      <c r="A65" s="279"/>
      <c r="B65" s="19">
        <v>16</v>
      </c>
      <c r="C65" s="1249" t="s">
        <v>66</v>
      </c>
      <c r="D65" s="1484"/>
      <c r="E65" s="1484"/>
      <c r="F65" s="1484"/>
      <c r="G65" s="1484"/>
      <c r="H65" s="1485"/>
      <c r="I65" s="1488" t="s">
        <v>46</v>
      </c>
      <c r="J65" s="1489"/>
      <c r="K65" s="260"/>
      <c r="L65" s="18" t="s">
        <v>62</v>
      </c>
      <c r="M65" s="277"/>
      <c r="N65" s="206"/>
      <c r="O65" s="254" t="str">
        <f>HYPERLINK("https://www.ncwildflower.org/plant_galleries/invasives_list","List of Invasive Species")</f>
        <v>List of Invasive Species</v>
      </c>
      <c r="P65" s="206"/>
      <c r="Q65" s="206"/>
      <c r="R65" s="206"/>
      <c r="S65" s="206"/>
      <c r="T65" s="206"/>
    </row>
    <row r="66" spans="1:20" s="251" customFormat="1" ht="100.5" customHeight="1" x14ac:dyDescent="0.3">
      <c r="A66" s="279"/>
      <c r="B66" s="554">
        <v>17</v>
      </c>
      <c r="C66" s="1619" t="s">
        <v>687</v>
      </c>
      <c r="D66" s="1620"/>
      <c r="E66" s="1620"/>
      <c r="F66" s="1620"/>
      <c r="G66" s="1620"/>
      <c r="H66" s="1621"/>
      <c r="I66" s="1622" t="s">
        <v>46</v>
      </c>
      <c r="J66" s="1623"/>
      <c r="K66" s="555"/>
      <c r="L66" s="556" t="s">
        <v>62</v>
      </c>
      <c r="M66" s="704"/>
      <c r="N66" s="206"/>
      <c r="O66" s="209" t="s">
        <v>67</v>
      </c>
      <c r="P66" s="257"/>
      <c r="Q66" s="257"/>
      <c r="R66" s="257"/>
      <c r="S66" s="257"/>
      <c r="T66" s="257"/>
    </row>
    <row r="67" spans="1:20" s="795" customFormat="1" ht="48" customHeight="1" x14ac:dyDescent="0.3">
      <c r="A67" s="279"/>
      <c r="B67" s="901">
        <v>18</v>
      </c>
      <c r="C67" s="1661" t="s">
        <v>688</v>
      </c>
      <c r="D67" s="1662"/>
      <c r="E67" s="1662"/>
      <c r="F67" s="1662"/>
      <c r="G67" s="1662"/>
      <c r="H67" s="1663"/>
      <c r="I67" s="1667" t="s">
        <v>46</v>
      </c>
      <c r="J67" s="1668"/>
      <c r="K67" s="896" t="s">
        <v>628</v>
      </c>
      <c r="L67" s="903"/>
      <c r="M67" s="704"/>
      <c r="N67" s="796"/>
      <c r="O67" s="797"/>
      <c r="P67" s="802"/>
      <c r="Q67" s="802"/>
      <c r="R67" s="802"/>
      <c r="S67" s="802"/>
      <c r="T67" s="802"/>
    </row>
    <row r="68" spans="1:20" s="795" customFormat="1" ht="48" customHeight="1" thickBot="1" x14ac:dyDescent="0.35">
      <c r="A68" s="900"/>
      <c r="B68" s="897">
        <v>19</v>
      </c>
      <c r="C68" s="1664" t="s">
        <v>689</v>
      </c>
      <c r="D68" s="1665"/>
      <c r="E68" s="1665"/>
      <c r="F68" s="1665"/>
      <c r="G68" s="1665"/>
      <c r="H68" s="1666"/>
      <c r="I68" s="1669" t="s">
        <v>46</v>
      </c>
      <c r="J68" s="1670"/>
      <c r="K68" s="898" t="s">
        <v>628</v>
      </c>
      <c r="L68" s="902"/>
      <c r="M68" s="899"/>
      <c r="N68" s="796"/>
      <c r="O68" s="797"/>
      <c r="P68" s="802"/>
      <c r="Q68" s="802"/>
      <c r="R68" s="802"/>
      <c r="S68" s="802"/>
      <c r="T68" s="802"/>
    </row>
    <row r="69" spans="1:20" s="251" customFormat="1" ht="35.15" customHeight="1" thickBot="1" x14ac:dyDescent="0.4">
      <c r="A69" s="1627" t="s">
        <v>40</v>
      </c>
      <c r="B69" s="1022"/>
      <c r="C69" s="1022"/>
      <c r="D69" s="1022"/>
      <c r="E69" s="1022"/>
      <c r="F69" s="1022"/>
      <c r="G69" s="1022"/>
      <c r="H69" s="1022"/>
      <c r="I69" s="1022"/>
      <c r="J69" s="1022"/>
      <c r="K69" s="1022"/>
      <c r="L69" s="1022"/>
      <c r="M69" s="1022"/>
      <c r="N69" s="3"/>
      <c r="O69" s="698"/>
      <c r="P69" s="206"/>
      <c r="Q69" s="206"/>
      <c r="R69" s="206"/>
      <c r="S69" s="206"/>
      <c r="T69" s="206"/>
    </row>
    <row r="70" spans="1:20" s="251" customFormat="1" ht="18.75" customHeight="1" thickBot="1" x14ac:dyDescent="0.35">
      <c r="A70" s="1628" t="s">
        <v>68</v>
      </c>
      <c r="B70" s="1629"/>
      <c r="C70" s="1629"/>
      <c r="D70" s="1629"/>
      <c r="E70" s="1629"/>
      <c r="F70" s="1629"/>
      <c r="G70" s="1629"/>
      <c r="H70" s="1629"/>
      <c r="I70" s="1629"/>
      <c r="J70" s="1629"/>
      <c r="K70" s="1629"/>
      <c r="L70" s="1629"/>
      <c r="M70" s="1630"/>
      <c r="N70" s="3"/>
      <c r="O70" s="206"/>
      <c r="P70" s="206"/>
      <c r="Q70" s="206"/>
      <c r="R70" s="206"/>
      <c r="S70" s="206"/>
      <c r="T70" s="206"/>
    </row>
    <row r="71" spans="1:20" s="251" customFormat="1" ht="14.25" customHeight="1" thickBot="1" x14ac:dyDescent="0.35">
      <c r="A71" s="20"/>
      <c r="B71" s="21"/>
      <c r="C71" s="22"/>
      <c r="D71" s="23"/>
      <c r="E71" s="1423" t="s">
        <v>634</v>
      </c>
      <c r="F71" s="1117"/>
      <c r="G71" s="1118"/>
      <c r="H71" s="1280" t="s">
        <v>69</v>
      </c>
      <c r="I71" s="1133" t="s">
        <v>70</v>
      </c>
      <c r="J71" s="1134"/>
      <c r="K71" s="557"/>
      <c r="L71" s="1080" t="s">
        <v>71</v>
      </c>
      <c r="M71" s="1082" t="s">
        <v>72</v>
      </c>
      <c r="N71" s="224"/>
      <c r="O71" s="206"/>
      <c r="P71" s="208"/>
      <c r="Q71" s="24"/>
      <c r="R71" s="208"/>
      <c r="S71" s="208"/>
      <c r="T71" s="208"/>
    </row>
    <row r="72" spans="1:20" s="251" customFormat="1" ht="13.5" customHeight="1" thickBot="1" x14ac:dyDescent="0.35">
      <c r="A72" s="25" t="s">
        <v>0</v>
      </c>
      <c r="B72" s="26" t="s">
        <v>1</v>
      </c>
      <c r="C72" s="27" t="s">
        <v>73</v>
      </c>
      <c r="D72" s="28" t="s">
        <v>74</v>
      </c>
      <c r="E72" s="1119"/>
      <c r="F72" s="1120"/>
      <c r="G72" s="1121"/>
      <c r="H72" s="1281"/>
      <c r="I72" s="627" t="s">
        <v>75</v>
      </c>
      <c r="J72" s="628" t="s">
        <v>76</v>
      </c>
      <c r="K72" s="558"/>
      <c r="L72" s="1081"/>
      <c r="M72" s="1083"/>
      <c r="N72" s="224"/>
      <c r="O72" s="206"/>
      <c r="P72" s="208"/>
      <c r="Q72" s="208"/>
      <c r="R72" s="29"/>
      <c r="S72" s="208"/>
      <c r="T72" s="208"/>
    </row>
    <row r="73" spans="1:20" s="430" customFormat="1" ht="14.25" customHeight="1" thickBot="1" x14ac:dyDescent="0.35">
      <c r="A73" s="445"/>
      <c r="B73" s="30"/>
      <c r="C73" s="30"/>
      <c r="D73" s="450" t="s">
        <v>77</v>
      </c>
      <c r="E73" s="456"/>
      <c r="F73" s="457"/>
      <c r="G73" s="458"/>
      <c r="H73" s="66"/>
      <c r="I73" s="561"/>
      <c r="J73" s="561"/>
      <c r="K73" s="30"/>
      <c r="L73" s="1654"/>
      <c r="M73" s="1655"/>
      <c r="N73" s="12"/>
      <c r="O73" s="12"/>
      <c r="P73" s="12"/>
      <c r="Q73" s="12"/>
      <c r="R73" s="12"/>
      <c r="S73" s="12"/>
      <c r="T73" s="12"/>
    </row>
    <row r="74" spans="1:20" s="430" customFormat="1" ht="14.25" customHeight="1" thickBot="1" x14ac:dyDescent="0.35">
      <c r="A74" s="837"/>
      <c r="B74" s="836"/>
      <c r="C74" s="836"/>
      <c r="D74" s="838"/>
      <c r="E74" s="1658" t="s">
        <v>617</v>
      </c>
      <c r="F74" s="1659"/>
      <c r="G74" s="1659"/>
      <c r="H74" s="1659"/>
      <c r="I74" s="1659"/>
      <c r="J74" s="1659"/>
      <c r="K74" s="1659"/>
      <c r="L74" s="1659"/>
      <c r="M74" s="1660"/>
      <c r="N74" s="12"/>
      <c r="O74" s="12"/>
      <c r="P74" s="12"/>
      <c r="Q74" s="12"/>
      <c r="R74" s="12"/>
      <c r="S74" s="12"/>
      <c r="T74" s="12"/>
    </row>
    <row r="75" spans="1:20" s="251" customFormat="1" ht="14" x14ac:dyDescent="0.3">
      <c r="A75" s="839"/>
      <c r="B75" s="840"/>
      <c r="C75" s="840"/>
      <c r="D75" s="841"/>
      <c r="E75" s="32">
        <v>1</v>
      </c>
      <c r="F75" s="1481" t="s">
        <v>618</v>
      </c>
      <c r="G75" s="1255"/>
      <c r="H75" s="743"/>
      <c r="I75" s="659"/>
      <c r="J75" s="758">
        <f>IF(OR(D75="m", C75="y"),H75,0)</f>
        <v>0</v>
      </c>
      <c r="K75" s="756">
        <f t="shared" ref="K75:K92" si="0">IF(AND(J75&gt;0,C75="y"),H75,0)</f>
        <v>0</v>
      </c>
      <c r="L75" s="1065" t="s">
        <v>78</v>
      </c>
      <c r="M75" s="1089"/>
      <c r="N75" s="206"/>
      <c r="O75" s="1021" t="str">
        <f>HYPERLINK("https://deq.nc.gov/about/divisions/energy-mineral-land-resources/stormwater","NC DENR Guidelines for Stormwater")</f>
        <v>NC DENR Guidelines for Stormwater</v>
      </c>
      <c r="P75" s="1022"/>
      <c r="Q75" s="1022"/>
      <c r="R75" s="1022"/>
      <c r="S75" s="206"/>
      <c r="T75" s="206"/>
    </row>
    <row r="76" spans="1:20" s="251" customFormat="1" ht="14" x14ac:dyDescent="0.3">
      <c r="A76" s="289"/>
      <c r="B76" s="290"/>
      <c r="C76" s="291"/>
      <c r="D76" s="292"/>
      <c r="E76" s="89" t="s">
        <v>79</v>
      </c>
      <c r="F76" s="1482" t="s">
        <v>569</v>
      </c>
      <c r="G76" s="1040"/>
      <c r="H76" s="46">
        <v>1</v>
      </c>
      <c r="I76" s="630">
        <f>IF(AND(OR(A76="x", A76="p"),NOT(B76="n")),H76,0)</f>
        <v>0</v>
      </c>
      <c r="J76" s="631">
        <f t="shared" ref="J76:J94" si="1">IF(OR(D76="m", C76="y"),H76,0)</f>
        <v>0</v>
      </c>
      <c r="K76" s="33">
        <f t="shared" si="0"/>
        <v>0</v>
      </c>
      <c r="L76" s="1028"/>
      <c r="M76" s="1351"/>
      <c r="N76" s="208"/>
      <c r="O76" s="1021" t="str">
        <f>HYPERLINK("https://riverlink.org/our-work/water-quality/waterrich/","Riverlinks WaterRich Program")</f>
        <v>Riverlinks WaterRich Program</v>
      </c>
      <c r="P76" s="1022"/>
      <c r="Q76" s="1022"/>
      <c r="R76" s="1022"/>
      <c r="S76" s="208"/>
      <c r="T76" s="208"/>
    </row>
    <row r="77" spans="1:20" s="251" customFormat="1" ht="14" x14ac:dyDescent="0.3">
      <c r="A77" s="293"/>
      <c r="B77" s="294"/>
      <c r="C77" s="295"/>
      <c r="D77" s="296"/>
      <c r="E77" s="89" t="s">
        <v>80</v>
      </c>
      <c r="F77" s="263" t="s">
        <v>81</v>
      </c>
      <c r="G77" s="264"/>
      <c r="H77" s="46">
        <v>1</v>
      </c>
      <c r="I77" s="630">
        <f>IF(AND(OR(A77="x", A77="p"),NOT(B77="n")),H77,0)</f>
        <v>0</v>
      </c>
      <c r="J77" s="631">
        <f t="shared" si="1"/>
        <v>0</v>
      </c>
      <c r="K77" s="33">
        <f t="shared" si="0"/>
        <v>0</v>
      </c>
      <c r="L77" s="1028"/>
      <c r="M77" s="1351"/>
      <c r="N77" s="208"/>
      <c r="O77" s="254" t="str">
        <f>HYPERLINK("https://www.seattle.gov/Documents/Departments/SDCI/Codes/StormwaterSPUAllowablePermeablePavement.pdf","Overview of Permeable Pavers by the City of Seattle")</f>
        <v>Overview of Permeable Pavers by the City of Seattle</v>
      </c>
      <c r="P77" s="254"/>
      <c r="Q77" s="254"/>
      <c r="R77" s="254"/>
      <c r="S77" s="254"/>
      <c r="T77" s="254"/>
    </row>
    <row r="78" spans="1:20" s="251" customFormat="1" ht="14.5" thickBot="1" x14ac:dyDescent="0.35">
      <c r="A78" s="506"/>
      <c r="B78" s="505"/>
      <c r="C78" s="503"/>
      <c r="D78" s="504"/>
      <c r="E78" s="874" t="s">
        <v>82</v>
      </c>
      <c r="F78" s="1483" t="s">
        <v>570</v>
      </c>
      <c r="G78" s="1036"/>
      <c r="H78" s="59">
        <v>2</v>
      </c>
      <c r="I78" s="632">
        <f>IF(AND(OR(A78="x", A78="p"),NOT(B78="n")),H78,0)</f>
        <v>0</v>
      </c>
      <c r="J78" s="633">
        <f t="shared" si="1"/>
        <v>0</v>
      </c>
      <c r="K78" s="33">
        <f t="shared" si="0"/>
        <v>0</v>
      </c>
      <c r="L78" s="1028"/>
      <c r="M78" s="1351"/>
      <c r="N78" s="208"/>
      <c r="O78" s="206"/>
      <c r="P78" s="212"/>
      <c r="Q78" s="212"/>
      <c r="R78" s="212"/>
      <c r="S78" s="212"/>
      <c r="T78" s="212"/>
    </row>
    <row r="79" spans="1:20" s="534" customFormat="1" ht="14.5" thickBot="1" x14ac:dyDescent="0.35">
      <c r="A79" s="1631"/>
      <c r="B79" s="1633"/>
      <c r="C79" s="1639"/>
      <c r="D79" s="1641"/>
      <c r="E79" s="1643" t="s">
        <v>83</v>
      </c>
      <c r="F79" s="1671" t="s">
        <v>84</v>
      </c>
      <c r="G79" s="1672"/>
      <c r="H79" s="1673" t="s">
        <v>92</v>
      </c>
      <c r="I79" s="1675">
        <f>IF(AND(A79="p",ISNUMBER(F80),F80&gt;0), MIN(10,ROUNDDOWN(F80/20,0)),0)</f>
        <v>0</v>
      </c>
      <c r="J79" s="1677">
        <f>IF(AND(OR(C79="y",D79="m"),ISNUMBER(F80),F80&gt;0,NOT(B79="n")), MIN(5,ROUNDDOWN(F80/20,0)),0)</f>
        <v>0</v>
      </c>
      <c r="K79" s="1679">
        <f>IF(AND(OR(C79="y"),ISNUMBER(F80),F80&gt;0), MIN(10,ROUNDDOWN(F80/10,0)),0)</f>
        <v>0</v>
      </c>
      <c r="L79" s="1192"/>
      <c r="M79" s="1657"/>
      <c r="N79" s="38"/>
      <c r="O79" s="541" t="str">
        <f>HYPERLINK("https://www.epa.gov/watersense/landscaping-tips","EPA WaterSense Smart Outdoor Practices")</f>
        <v>EPA WaterSense Smart Outdoor Practices</v>
      </c>
      <c r="P79" s="533"/>
      <c r="Q79" s="533"/>
      <c r="R79" s="533"/>
      <c r="S79" s="533"/>
      <c r="T79" s="533"/>
    </row>
    <row r="80" spans="1:20" s="534" customFormat="1" ht="29.5" customHeight="1" x14ac:dyDescent="0.3">
      <c r="A80" s="1632"/>
      <c r="B80" s="1634"/>
      <c r="C80" s="1640"/>
      <c r="D80" s="1642"/>
      <c r="E80" s="1644"/>
      <c r="F80" s="542">
        <v>0</v>
      </c>
      <c r="G80" s="543" t="s">
        <v>566</v>
      </c>
      <c r="H80" s="1674"/>
      <c r="I80" s="1676"/>
      <c r="J80" s="1678"/>
      <c r="K80" s="1680"/>
      <c r="L80" s="1192"/>
      <c r="M80" s="1657"/>
      <c r="N80" s="533"/>
      <c r="O80" s="541"/>
      <c r="P80" s="533"/>
      <c r="Q80" s="533"/>
      <c r="R80" s="533"/>
      <c r="S80" s="533"/>
      <c r="T80" s="533"/>
    </row>
    <row r="81" spans="1:20" s="251" customFormat="1" ht="31" customHeight="1" x14ac:dyDescent="0.3">
      <c r="A81" s="842"/>
      <c r="B81" s="843"/>
      <c r="C81" s="843"/>
      <c r="D81" s="844"/>
      <c r="E81" s="213">
        <v>2</v>
      </c>
      <c r="F81" s="1637" t="s">
        <v>737</v>
      </c>
      <c r="G81" s="1638"/>
      <c r="H81" s="218"/>
      <c r="I81" s="143"/>
      <c r="J81" s="144">
        <f t="shared" si="1"/>
        <v>0</v>
      </c>
      <c r="K81" s="31">
        <f t="shared" si="0"/>
        <v>0</v>
      </c>
      <c r="L81" s="1027" t="s">
        <v>86</v>
      </c>
      <c r="M81" s="1350"/>
      <c r="N81" s="206"/>
      <c r="O81" s="1652" t="str">
        <f>HYPERLINK("https://riverlink.org/wp-content/uploads/2018/07/Calculating-your-Stormwater-Runoff.pdf","Calculating Stormwater Runoff")</f>
        <v>Calculating Stormwater Runoff</v>
      </c>
      <c r="P81" s="1653"/>
      <c r="Q81" s="1653"/>
      <c r="R81" s="1653"/>
      <c r="S81" s="206"/>
      <c r="T81" s="206"/>
    </row>
    <row r="82" spans="1:20" s="251" customFormat="1" ht="31.5" customHeight="1" thickBot="1" x14ac:dyDescent="0.35">
      <c r="A82" s="297"/>
      <c r="B82" s="298"/>
      <c r="C82" s="299"/>
      <c r="D82" s="300"/>
      <c r="E82" s="875" t="s">
        <v>79</v>
      </c>
      <c r="F82" s="1617" t="s">
        <v>691</v>
      </c>
      <c r="G82" s="1618"/>
      <c r="H82" s="46">
        <v>2</v>
      </c>
      <c r="I82" s="630">
        <f>IF(AND(OR(A82="x", A82="p"),NOT(B82="n")),H82,0)</f>
        <v>0</v>
      </c>
      <c r="J82" s="631">
        <f>IF(OR(D82="m", C82="y"),H82,0)</f>
        <v>0</v>
      </c>
      <c r="K82" s="33">
        <f t="shared" si="0"/>
        <v>0</v>
      </c>
      <c r="L82" s="1065"/>
      <c r="M82" s="1089"/>
      <c r="N82" s="208"/>
      <c r="O82" s="257" t="str">
        <f>HYPERLINK("https://www.esf.edu/ere/endreny/GICalculator/RunoffHome.html","Runoff Calculator")</f>
        <v>Runoff Calculator</v>
      </c>
      <c r="P82" s="208"/>
      <c r="Q82" s="257" t="str">
        <f>HYPERLINK("https://hdsc.nws.noaa.gov/hdsc/pfds/pfds_map_cont.html?bkmrk=nc","Noaa- Precipitation Rates")</f>
        <v>Noaa- Precipitation Rates</v>
      </c>
      <c r="R82" s="208"/>
      <c r="S82" s="208"/>
      <c r="T82" s="208"/>
    </row>
    <row r="83" spans="1:20" s="497" customFormat="1" ht="33" customHeight="1" thickBot="1" x14ac:dyDescent="0.35">
      <c r="A83" s="1645"/>
      <c r="B83" s="1647"/>
      <c r="C83" s="1681"/>
      <c r="D83" s="1315"/>
      <c r="E83" s="1684" t="s">
        <v>80</v>
      </c>
      <c r="F83" s="1460" t="s">
        <v>690</v>
      </c>
      <c r="G83" s="1461"/>
      <c r="H83" s="1319" t="s">
        <v>132</v>
      </c>
      <c r="I83" s="1455">
        <f>IF(AND(A83="p",ISNUMBER(F84),F84&gt;0), MIN(10,ROUNDDOWN(F84/10,0)),0)</f>
        <v>0</v>
      </c>
      <c r="J83" s="1457">
        <f>IF(AND(OR(C83="y",D83="m"),ISNUMBER(F84),F84&gt;0,NOT(B83="n")), MIN(5,ROUNDDOWN(F84/10,0)),0)</f>
        <v>0</v>
      </c>
      <c r="K83" s="1413">
        <f>IF(AND(OR(C83="y"),ISNUMBER(F84),F84&gt;0), MIN(10,ROUNDDOWN(F84/10,0)),0)</f>
        <v>0</v>
      </c>
      <c r="L83" s="1065"/>
      <c r="M83" s="1089"/>
      <c r="N83" s="499"/>
      <c r="O83" s="498" t="str">
        <f>HYPERLINK("https://www.epa.gov/watersense/landscaping-tips","EPA WaterSense Smart Outdoor Practices")</f>
        <v>EPA WaterSense Smart Outdoor Practices</v>
      </c>
      <c r="P83" s="496"/>
      <c r="Q83" s="496"/>
      <c r="R83" s="496"/>
      <c r="S83" s="496"/>
      <c r="T83" s="496"/>
    </row>
    <row r="84" spans="1:20" s="497" customFormat="1" ht="32" customHeight="1" x14ac:dyDescent="0.3">
      <c r="A84" s="1646"/>
      <c r="B84" s="1648"/>
      <c r="C84" s="1682"/>
      <c r="D84" s="1683"/>
      <c r="E84" s="1685"/>
      <c r="F84" s="529"/>
      <c r="G84" s="508" t="s">
        <v>523</v>
      </c>
      <c r="H84" s="1454"/>
      <c r="I84" s="1456"/>
      <c r="J84" s="1458"/>
      <c r="K84" s="1459"/>
      <c r="L84" s="1066"/>
      <c r="M84" s="1090"/>
      <c r="N84" s="496"/>
      <c r="O84" s="498"/>
      <c r="P84" s="496"/>
      <c r="Q84" s="496"/>
      <c r="R84" s="496"/>
      <c r="S84" s="496"/>
      <c r="T84" s="496"/>
    </row>
    <row r="85" spans="1:20" s="725" customFormat="1" ht="13.5" customHeight="1" x14ac:dyDescent="0.3">
      <c r="A85" s="948"/>
      <c r="B85" s="949"/>
      <c r="C85" s="950"/>
      <c r="D85" s="951"/>
      <c r="E85" s="1449" t="s">
        <v>574</v>
      </c>
      <c r="F85" s="1450"/>
      <c r="G85" s="1450"/>
      <c r="H85" s="1450"/>
      <c r="I85" s="1450"/>
      <c r="J85" s="1450"/>
      <c r="K85" s="1450"/>
      <c r="L85" s="1450"/>
      <c r="M85" s="1451"/>
      <c r="N85" s="724"/>
      <c r="O85" s="727"/>
      <c r="P85" s="724"/>
      <c r="Q85" s="724"/>
      <c r="R85" s="724"/>
      <c r="S85" s="724"/>
      <c r="T85" s="724"/>
    </row>
    <row r="86" spans="1:20" s="725" customFormat="1" ht="34" customHeight="1" x14ac:dyDescent="0.3">
      <c r="A86" s="731"/>
      <c r="B86" s="729"/>
      <c r="C86" s="375"/>
      <c r="D86" s="730"/>
      <c r="E86" s="786">
        <v>3</v>
      </c>
      <c r="F86" s="1452" t="s">
        <v>620</v>
      </c>
      <c r="G86" s="1453"/>
      <c r="H86" s="759"/>
      <c r="I86" s="760"/>
      <c r="J86" s="761"/>
      <c r="K86" s="745"/>
      <c r="L86" s="728"/>
      <c r="M86" s="787"/>
      <c r="N86" s="724"/>
      <c r="O86" s="727"/>
      <c r="P86" s="724"/>
      <c r="Q86" s="724"/>
      <c r="R86" s="724"/>
      <c r="S86" s="724"/>
      <c r="T86" s="724"/>
    </row>
    <row r="87" spans="1:20" s="725" customFormat="1" ht="17" customHeight="1" x14ac:dyDescent="0.3">
      <c r="A87" s="731"/>
      <c r="B87" s="729"/>
      <c r="C87" s="375"/>
      <c r="D87" s="730"/>
      <c r="E87" s="876" t="s">
        <v>79</v>
      </c>
      <c r="F87" s="1462" t="s">
        <v>596</v>
      </c>
      <c r="G87" s="1463"/>
      <c r="H87" s="762" t="s">
        <v>571</v>
      </c>
      <c r="I87" s="763">
        <f>IF(AND(OR(A87="x", A87="p"),NOT(B87="n")),H87,0)</f>
        <v>0</v>
      </c>
      <c r="J87" s="764">
        <f>IF(OR(D87="m", C87="y"),H87,0)</f>
        <v>0</v>
      </c>
      <c r="K87" s="745"/>
      <c r="L87" s="728" t="s">
        <v>60</v>
      </c>
      <c r="M87" s="787"/>
      <c r="N87" s="724"/>
      <c r="O87" s="727"/>
      <c r="P87" s="724"/>
      <c r="Q87" s="724"/>
      <c r="R87" s="724"/>
      <c r="S87" s="724"/>
      <c r="T87" s="724"/>
    </row>
    <row r="88" spans="1:20" s="795" customFormat="1" ht="17" customHeight="1" x14ac:dyDescent="0.3">
      <c r="A88" s="814"/>
      <c r="B88" s="815"/>
      <c r="C88" s="375"/>
      <c r="D88" s="813"/>
      <c r="E88" s="876" t="s">
        <v>80</v>
      </c>
      <c r="F88" s="1012" t="s">
        <v>619</v>
      </c>
      <c r="G88" s="820"/>
      <c r="H88" s="762" t="s">
        <v>571</v>
      </c>
      <c r="I88" s="763">
        <f t="shared" ref="I88:I90" si="2">IF(AND(OR(A88="x", A88="p"),NOT(B88="n")),H88,0)</f>
        <v>0</v>
      </c>
      <c r="J88" s="764">
        <f t="shared" ref="J88:J90" si="3">IF(OR(D88="m", C88="y"),H88,0)</f>
        <v>0</v>
      </c>
      <c r="K88" s="745"/>
      <c r="L88" s="801" t="s">
        <v>60</v>
      </c>
      <c r="M88" s="787"/>
      <c r="N88" s="794"/>
      <c r="O88" s="797"/>
      <c r="P88" s="794"/>
      <c r="Q88" s="794"/>
      <c r="R88" s="794"/>
      <c r="S88" s="794"/>
      <c r="T88" s="794"/>
    </row>
    <row r="89" spans="1:20" s="725" customFormat="1" ht="35" customHeight="1" x14ac:dyDescent="0.3">
      <c r="A89" s="731"/>
      <c r="B89" s="729"/>
      <c r="C89" s="375"/>
      <c r="D89" s="730"/>
      <c r="E89" s="876" t="s">
        <v>82</v>
      </c>
      <c r="F89" s="1464" t="s">
        <v>692</v>
      </c>
      <c r="G89" s="1465"/>
      <c r="H89" s="762" t="s">
        <v>571</v>
      </c>
      <c r="I89" s="763">
        <f t="shared" si="2"/>
        <v>0</v>
      </c>
      <c r="J89" s="764">
        <f t="shared" si="3"/>
        <v>0</v>
      </c>
      <c r="K89" s="745"/>
      <c r="L89" s="728" t="s">
        <v>572</v>
      </c>
      <c r="M89" s="787"/>
      <c r="N89" s="724"/>
      <c r="O89" s="727"/>
      <c r="P89" s="724"/>
      <c r="Q89" s="724"/>
      <c r="R89" s="724"/>
      <c r="S89" s="724"/>
      <c r="T89" s="724"/>
    </row>
    <row r="90" spans="1:20" s="725" customFormat="1" ht="45" customHeight="1" x14ac:dyDescent="0.3">
      <c r="A90" s="731"/>
      <c r="B90" s="729"/>
      <c r="C90" s="375"/>
      <c r="D90" s="730"/>
      <c r="E90" s="877" t="s">
        <v>83</v>
      </c>
      <c r="F90" s="1466" t="s">
        <v>621</v>
      </c>
      <c r="G90" s="1467"/>
      <c r="H90" s="741" t="s">
        <v>597</v>
      </c>
      <c r="I90" s="763">
        <f t="shared" si="2"/>
        <v>0</v>
      </c>
      <c r="J90" s="764">
        <f t="shared" si="3"/>
        <v>0</v>
      </c>
      <c r="K90" s="745"/>
      <c r="L90" s="738" t="s">
        <v>573</v>
      </c>
      <c r="M90" s="788"/>
      <c r="N90" s="724"/>
      <c r="O90" s="727"/>
      <c r="P90" s="724"/>
      <c r="Q90" s="724"/>
      <c r="R90" s="724"/>
      <c r="S90" s="724"/>
      <c r="T90" s="724"/>
    </row>
    <row r="91" spans="1:20" s="733" customFormat="1" ht="13" customHeight="1" x14ac:dyDescent="0.3">
      <c r="A91" s="952"/>
      <c r="B91" s="953"/>
      <c r="C91" s="954"/>
      <c r="D91" s="955"/>
      <c r="E91" s="1468" t="s">
        <v>567</v>
      </c>
      <c r="F91" s="1469"/>
      <c r="G91" s="1469"/>
      <c r="H91" s="1469"/>
      <c r="I91" s="1469"/>
      <c r="J91" s="1469"/>
      <c r="K91" s="1469"/>
      <c r="L91" s="1469"/>
      <c r="M91" s="1470"/>
      <c r="N91" s="735"/>
      <c r="O91" s="736"/>
      <c r="P91" s="735"/>
      <c r="Q91" s="735"/>
      <c r="R91" s="735"/>
      <c r="S91" s="735"/>
      <c r="T91" s="735"/>
    </row>
    <row r="92" spans="1:20" s="251" customFormat="1" ht="14" x14ac:dyDescent="0.3">
      <c r="A92" s="301"/>
      <c r="B92" s="302"/>
      <c r="C92" s="303"/>
      <c r="D92" s="304"/>
      <c r="E92" s="905">
        <v>4</v>
      </c>
      <c r="F92" s="1445" t="s">
        <v>87</v>
      </c>
      <c r="G92" s="1446"/>
      <c r="H92" s="744">
        <v>1</v>
      </c>
      <c r="I92" s="645">
        <f>IF(AND(OR(A92="x", A92="p"),NOT(B92="n")),H92,0)</f>
        <v>0</v>
      </c>
      <c r="J92" s="765">
        <f t="shared" si="1"/>
        <v>0</v>
      </c>
      <c r="K92" s="745">
        <f t="shared" si="0"/>
        <v>0</v>
      </c>
      <c r="L92" s="739" t="s">
        <v>60</v>
      </c>
      <c r="M92" s="766"/>
      <c r="N92" s="208"/>
      <c r="O92" s="500"/>
      <c r="P92" s="497"/>
      <c r="Q92" s="497"/>
      <c r="R92" s="497"/>
      <c r="S92" s="208"/>
      <c r="T92" s="208"/>
    </row>
    <row r="93" spans="1:20" s="251" customFormat="1" ht="14" x14ac:dyDescent="0.3">
      <c r="A93" s="301"/>
      <c r="B93" s="302"/>
      <c r="C93" s="303"/>
      <c r="D93" s="304"/>
      <c r="E93" s="904">
        <v>5</v>
      </c>
      <c r="F93" s="1447" t="s">
        <v>88</v>
      </c>
      <c r="G93" s="1275"/>
      <c r="H93" s="36">
        <v>3</v>
      </c>
      <c r="I93" s="40">
        <f>IF(AND(OR(A93="x", A93="p"),NOT(B93="n")),H93,0)</f>
        <v>0</v>
      </c>
      <c r="J93" s="41">
        <f t="shared" si="1"/>
        <v>0</v>
      </c>
      <c r="K93" s="35">
        <f>IF(AND(J93&gt;0,C93="y"),H93,0)</f>
        <v>0</v>
      </c>
      <c r="L93" s="18" t="s">
        <v>89</v>
      </c>
      <c r="M93" s="277"/>
      <c r="N93" s="208"/>
      <c r="O93" s="254" t="s">
        <v>7</v>
      </c>
      <c r="P93" s="254"/>
      <c r="Q93" s="254"/>
      <c r="R93" s="254"/>
      <c r="S93" s="254"/>
      <c r="T93" s="254"/>
    </row>
    <row r="94" spans="1:20" s="251" customFormat="1" ht="15" customHeight="1" x14ac:dyDescent="0.3">
      <c r="A94" s="305"/>
      <c r="B94" s="306"/>
      <c r="C94" s="307"/>
      <c r="D94" s="308"/>
      <c r="E94" s="906">
        <v>6</v>
      </c>
      <c r="F94" s="1205" t="s">
        <v>90</v>
      </c>
      <c r="G94" s="1026"/>
      <c r="H94" s="59">
        <v>2</v>
      </c>
      <c r="I94" s="634">
        <f>IF(OR(A94="P", C94="x"),H94,0)</f>
        <v>0</v>
      </c>
      <c r="J94" s="629">
        <f t="shared" si="1"/>
        <v>0</v>
      </c>
      <c r="K94" s="35">
        <f>IF(AND(J94&gt;0,C94="y"),H94,0)</f>
        <v>0</v>
      </c>
      <c r="L94" s="37" t="s">
        <v>91</v>
      </c>
      <c r="M94" s="705"/>
      <c r="N94" s="208"/>
      <c r="O94" s="206"/>
      <c r="P94" s="38"/>
      <c r="Q94" s="38"/>
      <c r="R94" s="38"/>
      <c r="S94" s="38"/>
      <c r="T94" s="38"/>
    </row>
    <row r="95" spans="1:20" s="251" customFormat="1" ht="17.25" customHeight="1" thickBot="1" x14ac:dyDescent="0.35">
      <c r="A95" s="1227"/>
      <c r="B95" s="1229"/>
      <c r="C95" s="1308"/>
      <c r="D95" s="1232"/>
      <c r="E95" s="1472">
        <v>7</v>
      </c>
      <c r="F95" s="1328" t="s">
        <v>420</v>
      </c>
      <c r="G95" s="1047"/>
      <c r="H95" s="1294" t="s">
        <v>512</v>
      </c>
      <c r="I95" s="1106">
        <f>IF(AND(A95="p", F96&gt;0,ISNUMBER(F96),NOT(B95="n")),MIN(F96,4),0)</f>
        <v>0</v>
      </c>
      <c r="J95" s="1412">
        <f>IF(AND(OR(C95="y",D95="m"), F96&gt;0,ISNUMBER(F96)),MIN(F96,4),0)</f>
        <v>0</v>
      </c>
      <c r="K95" s="1110">
        <f>IF(AND(OR(C95="y"), F96&gt;0,ISNUMBER(F96)),MIN(F96,5),0)</f>
        <v>0</v>
      </c>
      <c r="L95" s="1027" t="s">
        <v>60</v>
      </c>
      <c r="M95" s="1030"/>
      <c r="N95" s="208"/>
      <c r="O95" s="209"/>
      <c r="P95" s="208"/>
      <c r="Q95" s="208"/>
      <c r="R95" s="208"/>
      <c r="S95" s="208"/>
      <c r="T95" s="208"/>
    </row>
    <row r="96" spans="1:20" s="251" customFormat="1" ht="14.25" customHeight="1" x14ac:dyDescent="0.35">
      <c r="A96" s="1392"/>
      <c r="B96" s="1616"/>
      <c r="C96" s="1616"/>
      <c r="D96" s="1471"/>
      <c r="E96" s="1473"/>
      <c r="F96" s="530">
        <v>0</v>
      </c>
      <c r="G96" s="262" t="s">
        <v>511</v>
      </c>
      <c r="H96" s="1091"/>
      <c r="I96" s="1153"/>
      <c r="J96" s="1154"/>
      <c r="K96" s="1034"/>
      <c r="L96" s="1034"/>
      <c r="M96" s="1091"/>
      <c r="N96" s="208"/>
      <c r="O96" s="624" t="s">
        <v>93</v>
      </c>
      <c r="P96" s="623"/>
      <c r="Q96" s="623"/>
      <c r="R96" s="623"/>
      <c r="S96" s="622"/>
      <c r="T96" s="208"/>
    </row>
    <row r="97" spans="1:20" s="251" customFormat="1" ht="42" customHeight="1" x14ac:dyDescent="0.3">
      <c r="A97" s="301"/>
      <c r="B97" s="302"/>
      <c r="C97" s="303"/>
      <c r="D97" s="304"/>
      <c r="E97" s="907">
        <v>8</v>
      </c>
      <c r="F97" s="1615" t="s">
        <v>94</v>
      </c>
      <c r="G97" s="1485"/>
      <c r="H97" s="36">
        <v>3</v>
      </c>
      <c r="I97" s="40">
        <f t="shared" ref="I97:I102" si="4">IF(AND(OR(A97="x", A97="p"),NOT(B97="n")),H97,0)</f>
        <v>0</v>
      </c>
      <c r="J97" s="41">
        <f t="shared" ref="J97:J102" si="5">IF(OR(D97="m", C97="y"),H97,0)</f>
        <v>0</v>
      </c>
      <c r="K97" s="35">
        <f t="shared" ref="K97:K102" si="6">IF(AND(J97&gt;0,C97="y"),H97,0)</f>
        <v>0</v>
      </c>
      <c r="L97" s="18" t="s">
        <v>95</v>
      </c>
      <c r="M97" s="785"/>
      <c r="N97" s="208"/>
      <c r="O97" s="209"/>
      <c r="P97" s="208"/>
      <c r="Q97" s="208"/>
      <c r="R97" s="208"/>
      <c r="S97" s="208"/>
      <c r="T97" s="208"/>
    </row>
    <row r="98" spans="1:20" s="251" customFormat="1" ht="18.75" customHeight="1" x14ac:dyDescent="0.3">
      <c r="A98" s="301"/>
      <c r="B98" s="302"/>
      <c r="C98" s="309"/>
      <c r="D98" s="310"/>
      <c r="E98" s="904">
        <v>9</v>
      </c>
      <c r="F98" s="1205" t="s">
        <v>96</v>
      </c>
      <c r="G98" s="1026"/>
      <c r="H98" s="154">
        <v>2</v>
      </c>
      <c r="I98" s="40">
        <f t="shared" si="4"/>
        <v>0</v>
      </c>
      <c r="J98" s="41">
        <f t="shared" si="5"/>
        <v>0</v>
      </c>
      <c r="K98" s="39">
        <f t="shared" si="6"/>
        <v>0</v>
      </c>
      <c r="L98" s="18" t="s">
        <v>97</v>
      </c>
      <c r="M98" s="277"/>
      <c r="N98" s="208"/>
      <c r="O98" s="206"/>
      <c r="P98" s="206"/>
      <c r="Q98" s="206"/>
      <c r="R98" s="206"/>
      <c r="S98" s="208"/>
      <c r="T98" s="208"/>
    </row>
    <row r="99" spans="1:20" s="251" customFormat="1" ht="14.25" customHeight="1" x14ac:dyDescent="0.3">
      <c r="A99" s="311"/>
      <c r="B99" s="312"/>
      <c r="C99" s="313"/>
      <c r="D99" s="314"/>
      <c r="E99" s="34">
        <v>10</v>
      </c>
      <c r="F99" s="1205" t="s">
        <v>98</v>
      </c>
      <c r="G99" s="1026"/>
      <c r="H99" s="154">
        <v>1</v>
      </c>
      <c r="I99" s="40">
        <f t="shared" si="4"/>
        <v>0</v>
      </c>
      <c r="J99" s="41">
        <f t="shared" si="5"/>
        <v>0</v>
      </c>
      <c r="K99" s="42">
        <f t="shared" si="6"/>
        <v>0</v>
      </c>
      <c r="L99" s="43" t="s">
        <v>99</v>
      </c>
      <c r="M99" s="277"/>
      <c r="N99" s="208"/>
      <c r="O99" s="208"/>
      <c r="P99" s="208"/>
      <c r="Q99" s="208"/>
      <c r="R99" s="208"/>
      <c r="S99" s="208"/>
      <c r="T99" s="208"/>
    </row>
    <row r="100" spans="1:20" s="251" customFormat="1" ht="15" customHeight="1" x14ac:dyDescent="0.3">
      <c r="A100" s="315"/>
      <c r="B100" s="316"/>
      <c r="C100" s="317"/>
      <c r="D100" s="318"/>
      <c r="E100" s="34">
        <v>11</v>
      </c>
      <c r="F100" s="1205" t="s">
        <v>100</v>
      </c>
      <c r="G100" s="1026"/>
      <c r="H100" s="220">
        <v>2</v>
      </c>
      <c r="I100" s="634">
        <f t="shared" si="4"/>
        <v>0</v>
      </c>
      <c r="J100" s="635">
        <f t="shared" si="5"/>
        <v>0</v>
      </c>
      <c r="K100" s="31">
        <f t="shared" si="6"/>
        <v>0</v>
      </c>
      <c r="L100" s="210" t="s">
        <v>101</v>
      </c>
      <c r="M100" s="703"/>
      <c r="N100" s="206"/>
      <c r="O100" s="1021" t="s">
        <v>102</v>
      </c>
      <c r="P100" s="1022"/>
      <c r="Q100" s="1022"/>
      <c r="R100" s="1022"/>
      <c r="S100" s="206"/>
      <c r="T100" s="206"/>
    </row>
    <row r="101" spans="1:20" s="251" customFormat="1" ht="24.75" customHeight="1" x14ac:dyDescent="0.3">
      <c r="A101" s="301"/>
      <c r="B101" s="302"/>
      <c r="C101" s="303"/>
      <c r="D101" s="304"/>
      <c r="E101" s="32">
        <v>12</v>
      </c>
      <c r="F101" s="1073" t="s">
        <v>103</v>
      </c>
      <c r="G101" s="1026"/>
      <c r="H101" s="218">
        <v>1</v>
      </c>
      <c r="I101" s="636">
        <f t="shared" si="4"/>
        <v>0</v>
      </c>
      <c r="J101" s="144">
        <f t="shared" si="5"/>
        <v>0</v>
      </c>
      <c r="K101" s="39">
        <f t="shared" si="6"/>
        <v>0</v>
      </c>
      <c r="L101" s="207" t="s">
        <v>104</v>
      </c>
      <c r="M101" s="702"/>
      <c r="N101" s="208"/>
      <c r="O101" s="209" t="s">
        <v>105</v>
      </c>
      <c r="P101" s="208"/>
      <c r="Q101" s="208"/>
      <c r="R101" s="208"/>
      <c r="S101" s="208"/>
      <c r="T101" s="208"/>
    </row>
    <row r="102" spans="1:20" s="251" customFormat="1" ht="14" x14ac:dyDescent="0.3">
      <c r="A102" s="1227"/>
      <c r="B102" s="1229"/>
      <c r="C102" s="1230"/>
      <c r="D102" s="1232"/>
      <c r="E102" s="1625">
        <v>13</v>
      </c>
      <c r="F102" s="1252" t="s">
        <v>106</v>
      </c>
      <c r="G102" s="1047"/>
      <c r="H102" s="1137">
        <v>1</v>
      </c>
      <c r="I102" s="1239">
        <f t="shared" si="4"/>
        <v>0</v>
      </c>
      <c r="J102" s="1202">
        <f t="shared" si="5"/>
        <v>0</v>
      </c>
      <c r="K102" s="1206">
        <f t="shared" si="6"/>
        <v>0</v>
      </c>
      <c r="L102" s="1027" t="s">
        <v>107</v>
      </c>
      <c r="M102" s="1030"/>
      <c r="N102" s="208"/>
      <c r="O102" s="257" t="str">
        <f>HYPERLINK("https://www.nfpa.org/Public-Education/Fire-causes-and-risks/Wildfire/Firewise-USA/Become-a-Firewise-USA-site","Become a Firewise USA site")</f>
        <v>Become a Firewise USA site</v>
      </c>
      <c r="P102" s="208"/>
      <c r="Q102" s="208"/>
      <c r="R102" s="208"/>
      <c r="S102" s="208"/>
      <c r="T102" s="208"/>
    </row>
    <row r="103" spans="1:20" s="251" customFormat="1" ht="14.5" thickBot="1" x14ac:dyDescent="0.35">
      <c r="A103" s="1392"/>
      <c r="B103" s="1616"/>
      <c r="C103" s="1624"/>
      <c r="D103" s="1471"/>
      <c r="E103" s="1626"/>
      <c r="F103" s="1613"/>
      <c r="G103" s="1614"/>
      <c r="H103" s="1028"/>
      <c r="I103" s="1107"/>
      <c r="J103" s="1109"/>
      <c r="K103" s="1474"/>
      <c r="L103" s="1028"/>
      <c r="M103" s="1031"/>
      <c r="N103" s="208"/>
      <c r="O103" s="1687" t="str">
        <f>HYPERLINK("https://www.ndsu.edu/pubweb/firewisend/data/pdf/Firewise%20User%20Guide.pdf","Firewise USA Guidebook")</f>
        <v>Firewise USA Guidebook</v>
      </c>
      <c r="P103" s="1022"/>
      <c r="Q103" s="1022"/>
      <c r="R103" s="1022"/>
      <c r="S103" s="208"/>
      <c r="T103" s="208"/>
    </row>
    <row r="104" spans="1:20" s="430" customFormat="1" ht="15" customHeight="1" thickBot="1" x14ac:dyDescent="0.35">
      <c r="A104" s="446"/>
      <c r="B104" s="448"/>
      <c r="C104" s="448" t="s">
        <v>108</v>
      </c>
      <c r="D104" s="451"/>
      <c r="E104" s="456"/>
      <c r="F104" s="459"/>
      <c r="G104" s="460"/>
      <c r="H104" s="66"/>
      <c r="I104" s="67"/>
      <c r="J104" s="637"/>
      <c r="K104" s="39"/>
      <c r="L104" s="461"/>
      <c r="M104" s="462"/>
      <c r="N104" s="12"/>
      <c r="O104" s="8"/>
      <c r="P104" s="12"/>
      <c r="Q104" s="12"/>
      <c r="R104" s="12"/>
      <c r="S104" s="8"/>
      <c r="T104" s="8"/>
    </row>
    <row r="105" spans="1:20" s="251" customFormat="1" ht="14.25" customHeight="1" x14ac:dyDescent="0.3">
      <c r="A105" s="1301"/>
      <c r="B105" s="1303"/>
      <c r="C105" s="1636"/>
      <c r="D105" s="1476"/>
      <c r="E105" s="1448">
        <v>14</v>
      </c>
      <c r="F105" s="1688" t="s">
        <v>3</v>
      </c>
      <c r="G105" s="1255"/>
      <c r="H105" s="1690">
        <v>2</v>
      </c>
      <c r="I105" s="1239">
        <f>IF(AND(OR(A105="x", A105="p"),NOT(B105="n")),H105,0)</f>
        <v>0</v>
      </c>
      <c r="J105" s="1202">
        <f>IF(OR(D105="m", C105="y"),H105,0)</f>
        <v>0</v>
      </c>
      <c r="K105" s="1206">
        <f>IF(AND(J105&gt;0,C105="y"),H105,0)</f>
        <v>0</v>
      </c>
      <c r="L105" s="1033" t="s">
        <v>109</v>
      </c>
      <c r="M105" s="1611"/>
      <c r="N105" s="206"/>
      <c r="O105" s="209" t="str">
        <f>HYPERLINK("https://msc.fema.gov/portal/home","FEMA Flood plain maps")</f>
        <v>FEMA Flood plain maps</v>
      </c>
      <c r="P105" s="255"/>
      <c r="Q105" s="255"/>
      <c r="R105" s="255"/>
      <c r="S105" s="255"/>
      <c r="T105" s="255"/>
    </row>
    <row r="106" spans="1:20" s="251" customFormat="1" ht="39.75" customHeight="1" x14ac:dyDescent="0.3">
      <c r="A106" s="1331"/>
      <c r="B106" s="1635"/>
      <c r="C106" s="1635"/>
      <c r="D106" s="1477"/>
      <c r="E106" s="1234"/>
      <c r="F106" s="1689"/>
      <c r="G106" s="1275"/>
      <c r="H106" s="1028"/>
      <c r="I106" s="1107"/>
      <c r="J106" s="1109"/>
      <c r="K106" s="1474"/>
      <c r="L106" s="1028"/>
      <c r="M106" s="1612"/>
      <c r="N106" s="206"/>
      <c r="O106" s="255" t="str">
        <f>HYPERLINK("https://websoilsurvey.nrcs.usda.gov/app/WebSoilSurvey.aspx","USDA Soil Map")</f>
        <v>USDA Soil Map</v>
      </c>
      <c r="P106" s="255"/>
      <c r="Q106" s="255"/>
      <c r="R106" s="255"/>
      <c r="S106" s="255"/>
      <c r="T106" s="255"/>
    </row>
    <row r="107" spans="1:20" s="251" customFormat="1" ht="14.25" customHeight="1" x14ac:dyDescent="0.3">
      <c r="A107" s="842"/>
      <c r="B107" s="884"/>
      <c r="C107" s="884"/>
      <c r="D107" s="844"/>
      <c r="E107" s="45">
        <v>15</v>
      </c>
      <c r="F107" s="1686" t="s">
        <v>693</v>
      </c>
      <c r="G107" s="1047"/>
      <c r="H107" s="218"/>
      <c r="I107" s="143"/>
      <c r="J107" s="144"/>
      <c r="K107" s="35"/>
      <c r="L107" s="1027" t="s">
        <v>110</v>
      </c>
      <c r="M107" s="1350"/>
      <c r="N107" s="208"/>
      <c r="O107" s="208"/>
      <c r="P107" s="208"/>
      <c r="Q107" s="208"/>
      <c r="R107" s="208"/>
      <c r="S107" s="208"/>
      <c r="T107" s="208"/>
    </row>
    <row r="108" spans="1:20" s="251" customFormat="1" ht="15" customHeight="1" x14ac:dyDescent="0.3">
      <c r="A108" s="322"/>
      <c r="B108" s="323"/>
      <c r="C108" s="324"/>
      <c r="D108" s="325"/>
      <c r="E108" s="48" t="s">
        <v>79</v>
      </c>
      <c r="F108" s="1063" t="s">
        <v>111</v>
      </c>
      <c r="G108" s="1040"/>
      <c r="H108" s="46">
        <v>1</v>
      </c>
      <c r="I108" s="630">
        <f>IF(AND(OR(A108="x", A108="p"),NOT(OR(B108="n", A109="x", A109="p", A110="x", A110="p"))),H108,0)</f>
        <v>0</v>
      </c>
      <c r="J108" s="638">
        <f>IF(AND(OR(D108="m", C108="y"),NOT(D109="m"),NOT(C109="y"),NOT(D110="m"),NOT(C110="y")),H108,0)</f>
        <v>0</v>
      </c>
      <c r="K108" s="35">
        <f>IF(AND(J108&gt;0,C108="y"),H108,0)</f>
        <v>0</v>
      </c>
      <c r="L108" s="1028"/>
      <c r="M108" s="1351"/>
      <c r="N108" s="208"/>
      <c r="O108" s="206"/>
      <c r="P108" s="38"/>
      <c r="Q108" s="38"/>
      <c r="R108" s="38"/>
      <c r="S108" s="38"/>
      <c r="T108" s="38"/>
    </row>
    <row r="109" spans="1:20" s="251" customFormat="1" ht="15" customHeight="1" x14ac:dyDescent="0.3">
      <c r="A109" s="293"/>
      <c r="B109" s="294"/>
      <c r="C109" s="295"/>
      <c r="D109" s="296"/>
      <c r="E109" s="48" t="s">
        <v>80</v>
      </c>
      <c r="F109" s="1063" t="s">
        <v>112</v>
      </c>
      <c r="G109" s="1040"/>
      <c r="H109" s="46">
        <v>3</v>
      </c>
      <c r="I109" s="630">
        <f>IF(AND(OR(A109="x", A109="p"),NOT(OR(B109="n", A110="x", A110="p", A108="x", A108="p"))),H109,0)</f>
        <v>0</v>
      </c>
      <c r="J109" s="638">
        <f>IF(AND(OR(D109="m", C109="y"),NOT(D110="m"),NOT(C110="y"),NOT(D108="m"),NOT(C108="y")),H109,0)</f>
        <v>0</v>
      </c>
      <c r="K109" s="35">
        <f>IF(AND(J109&gt;0,C109="y"),H109,0)</f>
        <v>0</v>
      </c>
      <c r="L109" s="1028"/>
      <c r="M109" s="1351"/>
      <c r="N109" s="208"/>
      <c r="O109" s="1070" t="s">
        <v>8</v>
      </c>
      <c r="P109" s="1022"/>
      <c r="Q109" s="1022"/>
      <c r="R109" s="1022"/>
      <c r="S109" s="1022"/>
      <c r="T109" s="1022"/>
    </row>
    <row r="110" spans="1:20" s="251" customFormat="1" ht="15" customHeight="1" x14ac:dyDescent="0.3">
      <c r="A110" s="326"/>
      <c r="B110" s="327"/>
      <c r="C110" s="328"/>
      <c r="D110" s="329"/>
      <c r="E110" s="50" t="s">
        <v>82</v>
      </c>
      <c r="F110" s="1375" t="s">
        <v>113</v>
      </c>
      <c r="G110" s="1024"/>
      <c r="H110" s="69">
        <v>5</v>
      </c>
      <c r="I110" s="639">
        <f>IF(AND(OR(A110="x", A110="p"),NOT(OR(B110="n", A109="x", A109="p", A108="x", A109="p"))),H110,0)</f>
        <v>0</v>
      </c>
      <c r="J110" s="640">
        <f>IF(AND(OR(D110="m", C110="y"),NOT(D109="m"),NOT(C109="y"),NOT(D108="m"),NOT(C108="y")),H110,0)</f>
        <v>0</v>
      </c>
      <c r="K110" s="35">
        <f>IF(AND(J110&gt;0,C110="y"),H110,0)</f>
        <v>0</v>
      </c>
      <c r="L110" s="1034"/>
      <c r="M110" s="1352"/>
      <c r="N110" s="208"/>
      <c r="O110" s="208"/>
      <c r="P110" s="208"/>
      <c r="Q110" s="208"/>
      <c r="R110" s="208"/>
      <c r="S110" s="208"/>
      <c r="T110" s="208"/>
    </row>
    <row r="111" spans="1:20" s="733" customFormat="1" ht="21" customHeight="1" x14ac:dyDescent="0.3">
      <c r="A111" s="974"/>
      <c r="B111" s="975"/>
      <c r="C111" s="976"/>
      <c r="D111" s="977"/>
      <c r="E111" s="856">
        <v>16</v>
      </c>
      <c r="F111" s="1478" t="s">
        <v>575</v>
      </c>
      <c r="G111" s="1479"/>
      <c r="H111" s="743">
        <v>1</v>
      </c>
      <c r="I111" s="659">
        <f>IF(AND(OR(A111="x", A111="p"),NOT(OR(B111="n"))),H111,0)</f>
        <v>0</v>
      </c>
      <c r="J111" s="746">
        <f>IF(AND(OR(D111="m", C111="y")),H111,0)</f>
        <v>0</v>
      </c>
      <c r="K111" s="767"/>
      <c r="L111" s="734"/>
      <c r="M111" s="816"/>
      <c r="N111" s="735"/>
      <c r="O111" s="735"/>
      <c r="P111" s="735"/>
      <c r="Q111" s="735"/>
      <c r="R111" s="735"/>
      <c r="S111" s="735"/>
      <c r="T111" s="735"/>
    </row>
    <row r="112" spans="1:20" s="251" customFormat="1" ht="14.25" customHeight="1" x14ac:dyDescent="0.3">
      <c r="A112" s="842"/>
      <c r="B112" s="884"/>
      <c r="C112" s="884"/>
      <c r="D112" s="844"/>
      <c r="E112" s="45">
        <v>17</v>
      </c>
      <c r="F112" s="1475" t="s">
        <v>469</v>
      </c>
      <c r="G112" s="1038"/>
      <c r="H112" s="218"/>
      <c r="I112" s="143"/>
      <c r="J112" s="144"/>
      <c r="K112" s="35"/>
      <c r="L112" s="1027" t="s">
        <v>114</v>
      </c>
      <c r="M112" s="1030"/>
      <c r="N112" s="208"/>
      <c r="O112" s="208"/>
      <c r="P112" s="208"/>
      <c r="Q112" s="208"/>
      <c r="R112" s="208"/>
      <c r="S112" s="208"/>
      <c r="T112" s="208"/>
    </row>
    <row r="113" spans="1:20" s="251" customFormat="1" ht="15" customHeight="1" x14ac:dyDescent="0.3">
      <c r="A113" s="322"/>
      <c r="B113" s="323"/>
      <c r="C113" s="324"/>
      <c r="D113" s="325"/>
      <c r="E113" s="49" t="s">
        <v>79</v>
      </c>
      <c r="F113" s="1048" t="s">
        <v>539</v>
      </c>
      <c r="G113" s="1049"/>
      <c r="H113" s="46">
        <v>1</v>
      </c>
      <c r="I113" s="630">
        <f>IF(AND(OR(A113="x", A113="p"),NOT(OR(B113="n", A114="x", A114="p"))),H113,0)</f>
        <v>0</v>
      </c>
      <c r="J113" s="638">
        <f>IF(AND(OR(D113="m", C113="y"),NOT(D114="m"),NOT(C114="y")),H113,0)</f>
        <v>0</v>
      </c>
      <c r="K113" s="35">
        <f>IF(AND(J113&gt;0,C113="y"),H113,0)</f>
        <v>0</v>
      </c>
      <c r="L113" s="1028"/>
      <c r="M113" s="1031"/>
      <c r="N113" s="208"/>
      <c r="O113" s="208"/>
      <c r="P113" s="208"/>
      <c r="Q113" s="208"/>
      <c r="R113" s="208"/>
      <c r="S113" s="208"/>
      <c r="T113" s="208"/>
    </row>
    <row r="114" spans="1:20" s="251" customFormat="1" ht="27" customHeight="1" x14ac:dyDescent="0.3">
      <c r="A114" s="293"/>
      <c r="B114" s="294"/>
      <c r="C114" s="295"/>
      <c r="D114" s="296"/>
      <c r="E114" s="49" t="s">
        <v>80</v>
      </c>
      <c r="F114" s="1383" t="s">
        <v>540</v>
      </c>
      <c r="G114" s="1040"/>
      <c r="H114" s="46">
        <v>2</v>
      </c>
      <c r="I114" s="630">
        <f>IF(AND(OR(A114="x", A114="p"),NOT(OR(B114="n", A113="x", A113="p"))),H114,0)</f>
        <v>0</v>
      </c>
      <c r="J114" s="638">
        <f>IF(AND(OR(D114="m", C114="y"),NOT(D113="m"),NOT(C113="y")),H114,0)</f>
        <v>0</v>
      </c>
      <c r="K114" s="35">
        <f>IF(AND(J114&gt;0,C114="y"),H114,0)</f>
        <v>0</v>
      </c>
      <c r="L114" s="1028"/>
      <c r="M114" s="1091"/>
      <c r="N114" s="208"/>
      <c r="O114" s="206"/>
      <c r="P114" s="206"/>
      <c r="Q114" s="206"/>
      <c r="R114" s="206"/>
      <c r="S114" s="206"/>
      <c r="T114" s="206"/>
    </row>
    <row r="115" spans="1:20" s="251" customFormat="1" ht="14.25" customHeight="1" x14ac:dyDescent="0.3">
      <c r="A115" s="301"/>
      <c r="B115" s="302"/>
      <c r="C115" s="303"/>
      <c r="D115" s="304"/>
      <c r="E115" s="34">
        <v>18</v>
      </c>
      <c r="F115" s="1205" t="s">
        <v>694</v>
      </c>
      <c r="G115" s="1026"/>
      <c r="H115" s="36">
        <v>2</v>
      </c>
      <c r="I115" s="40">
        <f>IF(AND(OR(A115="x", A115="p"),NOT(OR(B115="n"))),H115,0)</f>
        <v>0</v>
      </c>
      <c r="J115" s="641">
        <f>IF(AND(OR(D115="m", C115="y")),H115,0)</f>
        <v>0</v>
      </c>
      <c r="K115" s="39">
        <f>IF(AND(J115&gt;0,C115="y"),H115,0)</f>
        <v>0</v>
      </c>
      <c r="L115" s="18" t="s">
        <v>60</v>
      </c>
      <c r="M115" s="277"/>
      <c r="N115" s="208"/>
      <c r="O115" s="208"/>
      <c r="P115" s="208"/>
      <c r="Q115" s="208"/>
      <c r="R115" s="208"/>
      <c r="S115" s="208"/>
      <c r="T115" s="208"/>
    </row>
    <row r="116" spans="1:20" s="251" customFormat="1" ht="14.25" customHeight="1" x14ac:dyDescent="0.3">
      <c r="A116" s="842"/>
      <c r="B116" s="884"/>
      <c r="C116" s="884"/>
      <c r="D116" s="844"/>
      <c r="E116" s="82">
        <v>19</v>
      </c>
      <c r="F116" s="1250" t="s">
        <v>115</v>
      </c>
      <c r="G116" s="1047"/>
      <c r="H116" s="218"/>
      <c r="I116" s="143"/>
      <c r="J116" s="144"/>
      <c r="K116" s="39"/>
      <c r="L116" s="1027" t="s">
        <v>116</v>
      </c>
      <c r="M116" s="1350"/>
      <c r="N116" s="208"/>
      <c r="O116" s="208" t="s">
        <v>553</v>
      </c>
      <c r="P116" s="208"/>
      <c r="Q116" s="208"/>
      <c r="R116" s="208"/>
      <c r="S116" s="208"/>
      <c r="T116" s="208"/>
    </row>
    <row r="117" spans="1:20" s="251" customFormat="1" ht="21.75" customHeight="1" x14ac:dyDescent="0.3">
      <c r="A117" s="322"/>
      <c r="B117" s="323"/>
      <c r="C117" s="324"/>
      <c r="D117" s="325"/>
      <c r="E117" s="48" t="s">
        <v>79</v>
      </c>
      <c r="F117" s="1063" t="s">
        <v>576</v>
      </c>
      <c r="G117" s="1040"/>
      <c r="H117" s="46">
        <v>1</v>
      </c>
      <c r="I117" s="630">
        <f>IF(AND(OR(A117="x", A117="p"),NOT(OR(B117="n", A118="x", A118="p", A119="x", A119="p", A120="x", A120="p"))),H117,0)</f>
        <v>0</v>
      </c>
      <c r="J117" s="638">
        <f>IF(AND(OR(D117="m", C117="y"),NOT(D118="m"),NOT(C118="y"),NOT(D119="m"),NOT(C119="y"), NOT(D120="m"),NOT(C120="y")),H117,0)</f>
        <v>0</v>
      </c>
      <c r="K117" s="39">
        <f>IF(AND(J117&gt;0,C117="y"),H117,0)</f>
        <v>0</v>
      </c>
      <c r="L117" s="1028"/>
      <c r="M117" s="1351"/>
      <c r="N117" s="208"/>
      <c r="O117" s="208"/>
      <c r="P117" s="208"/>
      <c r="Q117" s="208"/>
      <c r="R117" s="208"/>
      <c r="S117" s="208"/>
      <c r="T117" s="208"/>
    </row>
    <row r="118" spans="1:20" s="251" customFormat="1" ht="18" customHeight="1" x14ac:dyDescent="0.3">
      <c r="A118" s="293"/>
      <c r="B118" s="294"/>
      <c r="C118" s="295"/>
      <c r="D118" s="296"/>
      <c r="E118" s="48" t="s">
        <v>80</v>
      </c>
      <c r="F118" s="1430" t="s">
        <v>586</v>
      </c>
      <c r="G118" s="1431"/>
      <c r="H118" s="46">
        <v>2</v>
      </c>
      <c r="I118" s="630">
        <f>IF(AND(OR(A118="x", A118="p"),NOT(OR(B118="n", A117="x", A117="p", A119="x", A119="p", A120="x", A120="p"))),H118,0)</f>
        <v>0</v>
      </c>
      <c r="J118" s="638">
        <f>IF(AND(OR(D118="m", C118="y"),NOT(D119="m"),NOT(C119="y"),NOT(D117="m"),NOT(C117="y"), NOT(D120="m"),NOT(C120="y")),H118,0)</f>
        <v>0</v>
      </c>
      <c r="K118" s="39">
        <f>IF(AND(J118&gt;0,C118="y"),H118,0)</f>
        <v>0</v>
      </c>
      <c r="L118" s="1028"/>
      <c r="M118" s="1351"/>
      <c r="N118" s="208"/>
      <c r="O118" s="208"/>
      <c r="P118" s="208"/>
      <c r="Q118" s="208"/>
      <c r="R118" s="208"/>
      <c r="S118" s="208"/>
      <c r="T118" s="208"/>
    </row>
    <row r="119" spans="1:20" s="251" customFormat="1" ht="21" customHeight="1" x14ac:dyDescent="0.3">
      <c r="A119" s="293"/>
      <c r="B119" s="294"/>
      <c r="C119" s="295"/>
      <c r="D119" s="296"/>
      <c r="E119" s="48" t="s">
        <v>82</v>
      </c>
      <c r="F119" s="1430" t="s">
        <v>622</v>
      </c>
      <c r="G119" s="1431"/>
      <c r="H119" s="46">
        <v>3</v>
      </c>
      <c r="I119" s="630">
        <f>IF(AND(OR(A119="x", A119="p"),NOT(OR(B119="n", A117="x", A117="p", A118="x", A118="p", A120="x", A120="p"))),H119,0)</f>
        <v>0</v>
      </c>
      <c r="J119" s="638">
        <f>IF(AND(OR(D119="m", C119="y"),NOT(D117="m"),NOT(C117="y"),NOT(D118="m"),NOT(C118="y"), NOT(D120="m"),NOT(C120="y")),H119,0)</f>
        <v>0</v>
      </c>
      <c r="K119" s="31">
        <f>IF(AND(J119&gt;0,C119="y"),H119,0)</f>
        <v>0</v>
      </c>
      <c r="L119" s="1028"/>
      <c r="M119" s="1351"/>
      <c r="N119" s="208"/>
      <c r="O119" s="208"/>
      <c r="P119" s="208"/>
      <c r="Q119" s="208"/>
      <c r="R119" s="208"/>
      <c r="S119" s="208"/>
      <c r="T119" s="208"/>
    </row>
    <row r="120" spans="1:20" s="251" customFormat="1" ht="22.5" customHeight="1" x14ac:dyDescent="0.3">
      <c r="A120" s="326"/>
      <c r="B120" s="327"/>
      <c r="C120" s="328"/>
      <c r="D120" s="329"/>
      <c r="E120" s="117" t="s">
        <v>83</v>
      </c>
      <c r="F120" s="1432" t="s">
        <v>565</v>
      </c>
      <c r="G120" s="1711"/>
      <c r="H120" s="69">
        <v>4</v>
      </c>
      <c r="I120" s="642">
        <f>IF(AND(OR(A120="x", A120="p"),NOT(OR(B120="n", A118="x", A118="p", A119="x", A119="p", A117="x", A117="p"))),H120,0)</f>
        <v>0</v>
      </c>
      <c r="J120" s="643">
        <f>IF(AND(OR(D120="m", C120="y"),NOT(D118="m"),NOT(C118="y"),NOT(D119="m"),NOT(C119="y"), NOT(D117="m"),NOT(C117="y")),H120,0)</f>
        <v>0</v>
      </c>
      <c r="K120" s="47">
        <f>IF(AND(J120&gt;0,C120="y"),H120,0)</f>
        <v>0</v>
      </c>
      <c r="L120" s="1034"/>
      <c r="M120" s="1352"/>
      <c r="N120" s="208"/>
      <c r="O120" s="208"/>
      <c r="P120" s="208"/>
      <c r="Q120" s="208"/>
      <c r="R120" s="208"/>
      <c r="S120" s="208"/>
      <c r="T120" s="208"/>
    </row>
    <row r="121" spans="1:20" s="251" customFormat="1" ht="24.5" customHeight="1" x14ac:dyDescent="0.3">
      <c r="A121" s="817"/>
      <c r="B121" s="818"/>
      <c r="C121" s="851"/>
      <c r="D121" s="819"/>
      <c r="E121" s="789">
        <v>20</v>
      </c>
      <c r="F121" s="1691" t="s">
        <v>591</v>
      </c>
      <c r="G121" s="1692"/>
      <c r="H121" s="845"/>
      <c r="I121" s="40"/>
      <c r="J121" s="641">
        <f>IF(AND(OR(D121="m", C121="y")),H121,0)</f>
        <v>0</v>
      </c>
      <c r="K121" s="878">
        <f>IF(AND(J121&gt;0,C121="y"),H121,0)</f>
        <v>0</v>
      </c>
      <c r="L121" s="1027" t="s">
        <v>631</v>
      </c>
      <c r="M121" s="1264"/>
      <c r="O121" s="1148" t="s">
        <v>118</v>
      </c>
      <c r="P121" s="1022"/>
      <c r="Q121" s="1022"/>
      <c r="R121" s="1022"/>
      <c r="S121" s="1022"/>
      <c r="T121" s="257"/>
    </row>
    <row r="122" spans="1:20" s="733" customFormat="1" ht="14.5" customHeight="1" x14ac:dyDescent="0.35">
      <c r="A122" s="293"/>
      <c r="B122" s="294"/>
      <c r="C122" s="378"/>
      <c r="D122" s="296"/>
      <c r="E122" s="856" t="s">
        <v>79</v>
      </c>
      <c r="F122" s="1013" t="s">
        <v>568</v>
      </c>
      <c r="G122" s="768"/>
      <c r="H122" s="846">
        <v>4</v>
      </c>
      <c r="I122" s="40">
        <f>IF(AND(OR(A122="x", A122="p"),NOT(OR(B122="n",A123="p",A123="x"))),H122,0)</f>
        <v>0</v>
      </c>
      <c r="J122" s="641">
        <f>IF(AND(OR(D122="m", C122="y"),NOT(D123="m"),NOT(C123="y")),H122,0)</f>
        <v>0</v>
      </c>
      <c r="K122" s="757"/>
      <c r="L122" s="1065"/>
      <c r="M122" s="1725"/>
      <c r="O122" s="998" t="s">
        <v>632</v>
      </c>
      <c r="T122" s="732"/>
    </row>
    <row r="123" spans="1:20" s="733" customFormat="1" ht="36.5" customHeight="1" thickBot="1" x14ac:dyDescent="0.35">
      <c r="A123" s="852"/>
      <c r="B123" s="853"/>
      <c r="C123" s="854"/>
      <c r="D123" s="855"/>
      <c r="E123" s="857" t="s">
        <v>80</v>
      </c>
      <c r="F123" s="1709" t="s">
        <v>659</v>
      </c>
      <c r="G123" s="1710"/>
      <c r="H123" s="850">
        <v>6</v>
      </c>
      <c r="I123" s="40">
        <f>IF(AND(OR(A123="x", A123="p"),NOT(OR(B123="n",A122="p",A122="x"))),H123,0)</f>
        <v>0</v>
      </c>
      <c r="J123" s="641">
        <f>IF(AND(OR(D123="m", C123="y"),NOT(D122="m"),NOT(C122="y")),H123,0)</f>
        <v>0</v>
      </c>
      <c r="K123" s="757"/>
      <c r="L123" s="1724"/>
      <c r="M123" s="1726"/>
      <c r="O123" s="732"/>
      <c r="T123" s="732"/>
    </row>
    <row r="124" spans="1:20" s="430" customFormat="1" ht="15" customHeight="1" thickBot="1" x14ac:dyDescent="0.35">
      <c r="A124" s="446"/>
      <c r="B124" s="448"/>
      <c r="C124" s="448"/>
      <c r="D124" s="452" t="s">
        <v>119</v>
      </c>
      <c r="E124" s="456"/>
      <c r="F124" s="463"/>
      <c r="G124" s="464"/>
      <c r="H124" s="847"/>
      <c r="I124" s="848"/>
      <c r="J124" s="849"/>
      <c r="K124" s="30"/>
      <c r="L124" s="1084"/>
      <c r="M124" s="1085"/>
      <c r="N124" s="12"/>
      <c r="O124" s="12"/>
      <c r="P124" s="8"/>
      <c r="Q124" s="8"/>
      <c r="R124" s="8"/>
      <c r="S124" s="8"/>
      <c r="T124" s="8"/>
    </row>
    <row r="125" spans="1:20" s="251" customFormat="1" ht="31.5" customHeight="1" x14ac:dyDescent="0.3">
      <c r="A125" s="842"/>
      <c r="B125" s="884"/>
      <c r="C125" s="884"/>
      <c r="D125" s="844"/>
      <c r="E125" s="45">
        <v>21</v>
      </c>
      <c r="F125" s="1434" t="s">
        <v>120</v>
      </c>
      <c r="G125" s="1435"/>
      <c r="H125" s="218"/>
      <c r="I125" s="143"/>
      <c r="J125" s="144"/>
      <c r="K125" s="39"/>
      <c r="L125" s="1033" t="s">
        <v>121</v>
      </c>
      <c r="M125" s="1104"/>
      <c r="N125" s="206"/>
      <c r="O125" s="1075" t="str">
        <f>HYPERLINK("https://forsyth.ces.ncsu.edu/wp-content/uploads/2016/03/RGmanual2015.pdf?fwd=no","NC Extension Agency Rain Garden Guide")</f>
        <v>NC Extension Agency Rain Garden Guide</v>
      </c>
      <c r="P125" s="1022"/>
      <c r="Q125" s="1022"/>
      <c r="R125" s="1022"/>
      <c r="S125" s="1022"/>
      <c r="T125" s="208"/>
    </row>
    <row r="126" spans="1:20" s="251" customFormat="1" ht="15" customHeight="1" x14ac:dyDescent="0.3">
      <c r="A126" s="322"/>
      <c r="B126" s="323"/>
      <c r="C126" s="324"/>
      <c r="D126" s="325"/>
      <c r="E126" s="88" t="s">
        <v>79</v>
      </c>
      <c r="F126" s="1063" t="s">
        <v>122</v>
      </c>
      <c r="G126" s="1040"/>
      <c r="H126" s="46">
        <v>1</v>
      </c>
      <c r="I126" s="630">
        <f>IF(AND(OR(A126="x", A126="p"),NOT(OR(B126="n", A127="x", A127="p", A128="x", A128="p", A129="x", A129="p"))),H126,0)</f>
        <v>0</v>
      </c>
      <c r="J126" s="638">
        <f>IF(AND(OR(D126="m", C126="y"),NOT(D127="m"),NOT(C127="y"),NOT(D128="m"),NOT(C128="y"), NOT(D129="m"),NOT(C129="y")),H126,0)</f>
        <v>0</v>
      </c>
      <c r="K126" s="39">
        <f t="shared" ref="K126:K132" si="7">IF(AND(J126&gt;0,C126="y"),H126,0)</f>
        <v>0</v>
      </c>
      <c r="L126" s="1028"/>
      <c r="M126" s="1031"/>
      <c r="N126" s="208"/>
      <c r="O126" s="208"/>
      <c r="P126" s="208"/>
      <c r="Q126" s="208"/>
      <c r="R126" s="208"/>
      <c r="S126" s="208"/>
      <c r="T126" s="208"/>
    </row>
    <row r="127" spans="1:20" s="251" customFormat="1" ht="15" customHeight="1" x14ac:dyDescent="0.3">
      <c r="A127" s="293"/>
      <c r="B127" s="294"/>
      <c r="C127" s="295"/>
      <c r="D127" s="296"/>
      <c r="E127" s="48" t="s">
        <v>80</v>
      </c>
      <c r="F127" s="1063" t="s">
        <v>123</v>
      </c>
      <c r="G127" s="1040"/>
      <c r="H127" s="46">
        <v>2</v>
      </c>
      <c r="I127" s="630">
        <f>IF(AND(OR(A127="x", A127="p"),NOT(OR(B127="n", A126="x", A126="p", A128="x", A128="p", A129="x", A129="p"))),H127,0)</f>
        <v>0</v>
      </c>
      <c r="J127" s="638">
        <f>IF(AND(OR(D127="m", C127="y"),NOT(D128="m"),NOT(C128="y"),NOT(D126="m"),NOT(C126="y"), NOT(D129="m"),NOT(C129="y")),H127,0)</f>
        <v>0</v>
      </c>
      <c r="K127" s="39">
        <f t="shared" si="7"/>
        <v>0</v>
      </c>
      <c r="L127" s="1028"/>
      <c r="M127" s="1031"/>
      <c r="N127" s="208"/>
      <c r="O127" s="209" t="str">
        <f>HYPERLINK("https://ncwildflower.org/native_plants/recommendations","Native Plants")</f>
        <v>Native Plants</v>
      </c>
      <c r="P127" s="208"/>
      <c r="Q127" s="257" t="str">
        <f>HYPERLINK("https://www.nwf.org/NativePlantFinder/Plants","NWF Native Plant Finder")</f>
        <v>NWF Native Plant Finder</v>
      </c>
      <c r="R127" s="38"/>
      <c r="S127" s="208"/>
      <c r="T127" s="208"/>
    </row>
    <row r="128" spans="1:20" s="251" customFormat="1" ht="15" customHeight="1" x14ac:dyDescent="0.3">
      <c r="A128" s="297"/>
      <c r="B128" s="298"/>
      <c r="C128" s="299"/>
      <c r="D128" s="300"/>
      <c r="E128" s="49" t="s">
        <v>82</v>
      </c>
      <c r="F128" s="1383" t="s">
        <v>124</v>
      </c>
      <c r="G128" s="1040"/>
      <c r="H128" s="46">
        <v>3</v>
      </c>
      <c r="I128" s="630">
        <f>IF(AND(OR(A128="x", A128="p"),NOT(OR(B128="n", A126="x", A126="p", A127="x", A127="p", A129="x", A129="p"))),H128,0)</f>
        <v>0</v>
      </c>
      <c r="J128" s="638">
        <f>IF(AND(OR(D128="m", C128="y"),NOT(D126="m"),NOT(C126="y"),NOT(D127="m"),NOT(C127="y"), NOT(D129="m"),NOT(C129="y")),H128,0)</f>
        <v>0</v>
      </c>
      <c r="K128" s="39">
        <f t="shared" si="7"/>
        <v>0</v>
      </c>
      <c r="L128" s="1028"/>
      <c r="M128" s="1031"/>
      <c r="N128" s="208"/>
      <c r="O128" s="1021" t="s">
        <v>125</v>
      </c>
      <c r="P128" s="1022"/>
      <c r="Q128" s="1022"/>
      <c r="R128" s="225"/>
      <c r="S128" s="208"/>
      <c r="T128" s="208"/>
    </row>
    <row r="129" spans="1:20" s="251" customFormat="1" ht="27" customHeight="1" x14ac:dyDescent="0.3">
      <c r="A129" s="305"/>
      <c r="B129" s="306"/>
      <c r="C129" s="307"/>
      <c r="D129" s="308"/>
      <c r="E129" s="50" t="s">
        <v>83</v>
      </c>
      <c r="F129" s="1375" t="s">
        <v>541</v>
      </c>
      <c r="G129" s="1024"/>
      <c r="H129" s="59">
        <v>4</v>
      </c>
      <c r="I129" s="642">
        <f>IF(AND(OR(A129="x", A129="p"),NOT(OR(B129="n", A127="x", A127="p", A128="x", A128="p", A126="x", A126="p"))),H129,0)</f>
        <v>0</v>
      </c>
      <c r="J129" s="643">
        <f>IF(AND(OR(D129="m", C129="y"),NOT(D127="m"),NOT(C127="y"),NOT(D128="m"),NOT(C128="y"), NOT(D126="m"),NOT(C126="y")),H129,0)</f>
        <v>0</v>
      </c>
      <c r="K129" s="39">
        <f t="shared" si="7"/>
        <v>0</v>
      </c>
      <c r="L129" s="1028"/>
      <c r="M129" s="1091"/>
      <c r="N129" s="208"/>
      <c r="O129" s="1070" t="str">
        <f>HYPERLINK("www.permaculture.org","Permaculture")</f>
        <v>Permaculture</v>
      </c>
      <c r="P129" s="1022"/>
      <c r="Q129" s="1022"/>
      <c r="R129" s="208"/>
      <c r="S129" s="208"/>
      <c r="T129" s="208"/>
    </row>
    <row r="130" spans="1:20" s="251" customFormat="1" ht="14" x14ac:dyDescent="0.3">
      <c r="A130" s="842"/>
      <c r="B130" s="884"/>
      <c r="C130" s="884"/>
      <c r="D130" s="844"/>
      <c r="E130" s="45">
        <v>22</v>
      </c>
      <c r="F130" s="1439" t="s">
        <v>577</v>
      </c>
      <c r="G130" s="1245"/>
      <c r="H130" s="51"/>
      <c r="I130" s="143"/>
      <c r="J130" s="144"/>
      <c r="K130" s="39"/>
      <c r="L130" s="1027" t="s">
        <v>623</v>
      </c>
      <c r="M130" s="1350"/>
      <c r="N130" s="206"/>
      <c r="O130" s="1050"/>
      <c r="P130" s="1022"/>
      <c r="Q130" s="1022"/>
      <c r="R130" s="208"/>
      <c r="S130" s="208"/>
      <c r="T130" s="208"/>
    </row>
    <row r="131" spans="1:20" s="251" customFormat="1" ht="37" customHeight="1" x14ac:dyDescent="0.3">
      <c r="A131" s="322"/>
      <c r="B131" s="323"/>
      <c r="C131" s="324"/>
      <c r="D131" s="325"/>
      <c r="E131" s="89" t="s">
        <v>79</v>
      </c>
      <c r="F131" s="1430" t="s">
        <v>677</v>
      </c>
      <c r="G131" s="1431"/>
      <c r="H131" s="858">
        <v>2</v>
      </c>
      <c r="I131" s="630">
        <f>IF(AND(OR(A131="x", A131="p"),NOT(OR(B131="n", A132="x", A132="p"))),H131,0)</f>
        <v>0</v>
      </c>
      <c r="J131" s="638">
        <f>IF(AND(OR(D131="m", C131="y"),NOT(D132="m"),NOT(C132="y")),H131,0)</f>
        <v>0</v>
      </c>
      <c r="K131" s="39">
        <f t="shared" si="7"/>
        <v>0</v>
      </c>
      <c r="L131" s="1028"/>
      <c r="M131" s="1351"/>
      <c r="N131" s="208"/>
      <c r="O131" s="208"/>
      <c r="P131" s="208"/>
      <c r="Q131" s="208"/>
      <c r="R131" s="208"/>
      <c r="S131" s="208"/>
      <c r="T131" s="208"/>
    </row>
    <row r="132" spans="1:20" s="251" customFormat="1" ht="29.5" customHeight="1" x14ac:dyDescent="0.3">
      <c r="A132" s="293"/>
      <c r="B132" s="294"/>
      <c r="C132" s="295"/>
      <c r="D132" s="296"/>
      <c r="E132" s="162" t="s">
        <v>80</v>
      </c>
      <c r="F132" s="1432" t="s">
        <v>554</v>
      </c>
      <c r="G132" s="1433"/>
      <c r="H132" s="858">
        <v>3</v>
      </c>
      <c r="I132" s="642">
        <f>IF(AND(OR(A132="x", A132="p"),NOT(OR(B132="n", A131="x", A131="p"))),H132,0)</f>
        <v>0</v>
      </c>
      <c r="J132" s="638">
        <f>IF(AND(OR(D132="m", C132="y"),NOT(D131="m"),NOT(C131="y")),H132,0)</f>
        <v>0</v>
      </c>
      <c r="K132" s="39">
        <f t="shared" si="7"/>
        <v>0</v>
      </c>
      <c r="L132" s="1028"/>
      <c r="M132" s="1351"/>
      <c r="N132" s="53"/>
      <c r="O132" s="1429"/>
      <c r="P132" s="1429"/>
      <c r="Q132" s="53"/>
      <c r="R132" s="53"/>
      <c r="S132" s="53"/>
      <c r="T132" s="53"/>
    </row>
    <row r="133" spans="1:20" s="251" customFormat="1" ht="14" x14ac:dyDescent="0.3">
      <c r="A133" s="842"/>
      <c r="B133" s="884"/>
      <c r="C133" s="884"/>
      <c r="D133" s="844"/>
      <c r="E133" s="54">
        <v>23</v>
      </c>
      <c r="F133" s="1059" t="s">
        <v>468</v>
      </c>
      <c r="G133" s="1123"/>
      <c r="H133" s="218"/>
      <c r="I133" s="143"/>
      <c r="J133" s="144"/>
      <c r="K133" s="39"/>
      <c r="L133" s="1027" t="s">
        <v>126</v>
      </c>
      <c r="M133" s="1436"/>
      <c r="N133" s="206"/>
      <c r="O133" s="1069" t="str">
        <f>HYPERLINK("https://bearwise.org/","BearWise")</f>
        <v>BearWise</v>
      </c>
      <c r="P133" s="1069"/>
      <c r="Q133" s="206"/>
      <c r="R133" s="208"/>
      <c r="S133" s="208"/>
      <c r="T133" s="208"/>
    </row>
    <row r="134" spans="1:20" s="251" customFormat="1" ht="36" customHeight="1" x14ac:dyDescent="0.3">
      <c r="A134" s="322"/>
      <c r="B134" s="323"/>
      <c r="C134" s="324"/>
      <c r="D134" s="325"/>
      <c r="E134" s="55" t="s">
        <v>79</v>
      </c>
      <c r="F134" s="1063" t="s">
        <v>555</v>
      </c>
      <c r="G134" s="1040"/>
      <c r="H134" s="56">
        <v>1</v>
      </c>
      <c r="I134" s="630">
        <f>IF(AND(OR(A134="x", A134="p"),NOT(B134="n")),H134,0)</f>
        <v>0</v>
      </c>
      <c r="J134" s="631">
        <f>IF(OR(D134="m", C134="y"),H134,0)</f>
        <v>0</v>
      </c>
      <c r="K134" s="33">
        <f>IF(AND(J134&gt;0,C134="y"),H134,0)</f>
        <v>0</v>
      </c>
      <c r="L134" s="1028"/>
      <c r="M134" s="1437"/>
      <c r="N134" s="208"/>
      <c r="O134" s="257" t="str">
        <f>HYPERLINK("https://cpw.state.co.us/Documents/Education/LivingWithWildlife/Bears-Home-Audit-Checklist.pdf","Bear Audit Checklist")</f>
        <v>Bear Audit Checklist</v>
      </c>
      <c r="P134" s="208"/>
      <c r="Q134" s="208"/>
      <c r="R134" s="208"/>
      <c r="S134" s="208"/>
      <c r="T134" s="208"/>
    </row>
    <row r="135" spans="1:20" s="251" customFormat="1" ht="28.5" customHeight="1" x14ac:dyDescent="0.3">
      <c r="A135" s="293"/>
      <c r="B135" s="294"/>
      <c r="C135" s="295"/>
      <c r="D135" s="296"/>
      <c r="E135" s="55" t="s">
        <v>80</v>
      </c>
      <c r="F135" s="1076" t="s">
        <v>439</v>
      </c>
      <c r="G135" s="1036"/>
      <c r="H135" s="57">
        <v>1</v>
      </c>
      <c r="I135" s="630">
        <f>IF(AND(OR(A135="x", A135="p"),NOT(B135="n")),H135,0)</f>
        <v>0</v>
      </c>
      <c r="J135" s="631">
        <f>IF(OR(D135="m", C135="y"),H135,0)</f>
        <v>0</v>
      </c>
      <c r="K135" s="33">
        <f>IF(AND(J135&gt;0,C135="y"),H135,0)</f>
        <v>0</v>
      </c>
      <c r="L135" s="1028"/>
      <c r="M135" s="1437"/>
      <c r="N135" s="12"/>
      <c r="O135" s="257" t="str">
        <f>HYPERLINK("https://www.nwf.org/-/media/PDFs/Garden-for-Wildlife/Certified-Wildlife-Habitat/NWF_Garden-Certification-Checklist.ashx?la=en&amp;hash=FFAA30B3AE06687A881FC4BE615DEFB0E2BACF42","NWF Certified Wildlife Habitat")</f>
        <v>NWF Certified Wildlife Habitat</v>
      </c>
      <c r="P135" s="12"/>
      <c r="Q135" s="12"/>
      <c r="R135" s="12"/>
      <c r="S135" s="12"/>
      <c r="T135" s="12"/>
    </row>
    <row r="136" spans="1:20" s="251" customFormat="1" ht="39.75" customHeight="1" x14ac:dyDescent="0.3">
      <c r="A136" s="297"/>
      <c r="B136" s="294"/>
      <c r="C136" s="295"/>
      <c r="D136" s="300"/>
      <c r="E136" s="58" t="s">
        <v>82</v>
      </c>
      <c r="F136" s="1076" t="s">
        <v>440</v>
      </c>
      <c r="G136" s="1036"/>
      <c r="H136" s="59">
        <v>4</v>
      </c>
      <c r="I136" s="632">
        <f>IF(AND(OR(A136="x", A136="p"),NOT(B136="n")),H136,0)</f>
        <v>0</v>
      </c>
      <c r="J136" s="633">
        <f>IF(OR(D136="m", C136="y"),H136,0)</f>
        <v>0</v>
      </c>
      <c r="K136" s="33">
        <f>IF(AND(J136&gt;0,C136="y"),H136,0)</f>
        <v>0</v>
      </c>
      <c r="L136" s="1028"/>
      <c r="M136" s="1438"/>
      <c r="N136" s="208"/>
      <c r="O136" s="208"/>
      <c r="P136" s="208"/>
      <c r="Q136" s="208"/>
      <c r="R136" s="208"/>
      <c r="S136" s="208"/>
      <c r="T136" s="208"/>
    </row>
    <row r="137" spans="1:20" s="733" customFormat="1" ht="19" customHeight="1" x14ac:dyDescent="0.3">
      <c r="A137" s="293"/>
      <c r="B137" s="294"/>
      <c r="C137" s="378"/>
      <c r="D137" s="296"/>
      <c r="E137" s="779">
        <v>24</v>
      </c>
      <c r="F137" s="1727" t="s">
        <v>584</v>
      </c>
      <c r="G137" s="1055"/>
      <c r="H137" s="737"/>
      <c r="I137" s="667"/>
      <c r="J137" s="668"/>
      <c r="K137" s="780"/>
      <c r="L137" s="1030" t="s">
        <v>587</v>
      </c>
      <c r="M137" s="1729"/>
      <c r="N137" s="735"/>
      <c r="O137" s="735"/>
      <c r="P137" s="735"/>
      <c r="Q137" s="735"/>
      <c r="R137" s="735"/>
      <c r="S137" s="735"/>
      <c r="T137" s="735"/>
    </row>
    <row r="138" spans="1:20" s="733" customFormat="1" ht="39.75" customHeight="1" x14ac:dyDescent="0.3">
      <c r="A138" s="293"/>
      <c r="B138" s="294"/>
      <c r="C138" s="378"/>
      <c r="D138" s="296"/>
      <c r="E138" s="779" t="s">
        <v>79</v>
      </c>
      <c r="F138" s="1430" t="s">
        <v>585</v>
      </c>
      <c r="G138" s="1728"/>
      <c r="H138" s="46">
        <v>2</v>
      </c>
      <c r="I138" s="630">
        <f>IF(AND(OR(A138="x", A138="p"),NOT(OR(B138="n", A139="x", A139="p", A139="x", A139="p"))),H138,0)</f>
        <v>0</v>
      </c>
      <c r="J138" s="631">
        <f>IF(AND(OR(D138="m", C138="y"),NOT(D139="m"),NOT(C139="y")),H131,0)</f>
        <v>0</v>
      </c>
      <c r="K138" s="780"/>
      <c r="L138" s="1067"/>
      <c r="M138" s="1730"/>
      <c r="N138" s="735"/>
      <c r="O138" s="735"/>
      <c r="P138" s="735"/>
      <c r="Q138" s="735"/>
      <c r="R138" s="735"/>
      <c r="S138" s="735"/>
      <c r="T138" s="735"/>
    </row>
    <row r="139" spans="1:20" s="733" customFormat="1" ht="37" customHeight="1" x14ac:dyDescent="0.3">
      <c r="A139" s="326"/>
      <c r="B139" s="327"/>
      <c r="C139" s="379"/>
      <c r="D139" s="329"/>
      <c r="E139" s="779" t="s">
        <v>80</v>
      </c>
      <c r="F139" s="1432" t="s">
        <v>678</v>
      </c>
      <c r="G139" s="1711"/>
      <c r="H139" s="744">
        <v>3</v>
      </c>
      <c r="I139" s="630">
        <f>IF(AND(OR(A139="x", A139="p"),NOT(OR(B139="n", A138="x", A138="p", A138="x", A138="p"))),H139,0)</f>
        <v>0</v>
      </c>
      <c r="J139" s="631">
        <f>IF(AND(OR(D139="m", C139="y"),NOT(D138="m"),NOT(C138="y")),H132,0)</f>
        <v>0</v>
      </c>
      <c r="K139" s="780"/>
      <c r="L139" s="1068"/>
      <c r="M139" s="1731"/>
      <c r="N139" s="735"/>
      <c r="O139" s="735"/>
      <c r="P139" s="735"/>
      <c r="Q139" s="735"/>
      <c r="R139" s="735"/>
      <c r="S139" s="735"/>
      <c r="T139" s="735"/>
    </row>
    <row r="140" spans="1:20" s="251" customFormat="1" ht="30" customHeight="1" thickBot="1" x14ac:dyDescent="0.35">
      <c r="A140" s="301"/>
      <c r="B140" s="302"/>
      <c r="C140" s="303"/>
      <c r="D140" s="304"/>
      <c r="E140" s="90">
        <v>25</v>
      </c>
      <c r="F140" s="1071" t="s">
        <v>127</v>
      </c>
      <c r="G140" s="1072"/>
      <c r="H140" s="344" t="s">
        <v>85</v>
      </c>
      <c r="I140" s="40">
        <f>IF(AND(OR(A140="x", A140="p"),NOT(B140="n"), H140&lt;=7),H140,0)</f>
        <v>0</v>
      </c>
      <c r="J140" s="41">
        <f>IF(AND(OR(D140="m", C140="y"),H140&lt;=7),H140,0)</f>
        <v>0</v>
      </c>
      <c r="K140" s="39">
        <f>IF(AND(J140&gt;0,C140="y"),H140,0)</f>
        <v>0</v>
      </c>
      <c r="L140" s="60"/>
      <c r="M140" s="330"/>
      <c r="N140" s="208"/>
      <c r="O140" s="208"/>
      <c r="P140" s="208"/>
      <c r="Q140" s="208"/>
      <c r="R140" s="208"/>
      <c r="S140" s="208"/>
      <c r="T140" s="208"/>
    </row>
    <row r="141" spans="1:20" s="251" customFormat="1" thickTop="1" thickBot="1" x14ac:dyDescent="0.35">
      <c r="A141" s="1041" t="s">
        <v>635</v>
      </c>
      <c r="B141" s="1042"/>
      <c r="C141" s="1042"/>
      <c r="D141" s="1042"/>
      <c r="E141" s="1042"/>
      <c r="F141" s="1042"/>
      <c r="G141" s="1042"/>
      <c r="H141" s="1043"/>
      <c r="I141" s="644">
        <f>SUM(I75:I140)</f>
        <v>0</v>
      </c>
      <c r="J141" s="644">
        <f>SUM(J75:J140)</f>
        <v>0</v>
      </c>
      <c r="K141" s="61">
        <f>SUM(K75:K140)</f>
        <v>0</v>
      </c>
      <c r="L141" s="62"/>
      <c r="M141" s="63"/>
      <c r="N141" s="208"/>
      <c r="O141" s="206"/>
      <c r="P141" s="206"/>
      <c r="Q141" s="206"/>
      <c r="R141" s="206"/>
      <c r="S141" s="206"/>
      <c r="T141" s="206"/>
    </row>
    <row r="142" spans="1:20" s="251" customFormat="1" ht="35.15" customHeight="1" thickTop="1" thickBot="1" x14ac:dyDescent="0.35">
      <c r="A142" s="1194" t="s">
        <v>40</v>
      </c>
      <c r="B142" s="1195"/>
      <c r="C142" s="1195"/>
      <c r="D142" s="1195"/>
      <c r="E142" s="1195"/>
      <c r="F142" s="1195"/>
      <c r="G142" s="1195"/>
      <c r="H142" s="1195"/>
      <c r="I142" s="1195"/>
      <c r="J142" s="1195"/>
      <c r="K142" s="1195"/>
      <c r="L142" s="1195"/>
      <c r="M142" s="1195"/>
      <c r="N142" s="3"/>
      <c r="O142" s="208"/>
      <c r="P142" s="206"/>
      <c r="Q142" s="206"/>
      <c r="R142" s="206"/>
      <c r="S142" s="206"/>
      <c r="T142" s="206"/>
    </row>
    <row r="143" spans="1:20" s="251" customFormat="1" ht="20.25" hidden="1" customHeight="1" x14ac:dyDescent="0.3">
      <c r="A143" s="1442"/>
      <c r="B143" s="1442"/>
      <c r="C143" s="1442"/>
      <c r="D143" s="1442"/>
      <c r="E143" s="1442"/>
      <c r="F143" s="1442"/>
      <c r="G143" s="1442"/>
      <c r="H143" s="1442"/>
      <c r="I143" s="1442"/>
      <c r="J143" s="1442"/>
      <c r="K143" s="1442"/>
      <c r="L143" s="1442"/>
      <c r="M143" s="1442"/>
      <c r="N143" s="3"/>
      <c r="O143" s="206"/>
      <c r="P143" s="206"/>
      <c r="Q143" s="206"/>
      <c r="R143" s="206"/>
      <c r="S143" s="206"/>
      <c r="T143" s="206"/>
    </row>
    <row r="144" spans="1:20" s="251" customFormat="1" ht="20.25" hidden="1" customHeight="1" x14ac:dyDescent="0.3">
      <c r="A144" s="1443"/>
      <c r="B144" s="1443"/>
      <c r="C144" s="1443"/>
      <c r="D144" s="1443"/>
      <c r="E144" s="1443"/>
      <c r="F144" s="1443"/>
      <c r="G144" s="1443"/>
      <c r="H144" s="1443"/>
      <c r="I144" s="1443"/>
      <c r="J144" s="1443"/>
      <c r="K144" s="1443"/>
      <c r="L144" s="1443"/>
      <c r="M144" s="1443"/>
      <c r="N144" s="3"/>
      <c r="O144" s="206"/>
      <c r="P144" s="206"/>
      <c r="Q144" s="206"/>
      <c r="R144" s="206"/>
      <c r="S144" s="206"/>
      <c r="T144" s="206"/>
    </row>
    <row r="145" spans="1:20" s="251" customFormat="1" ht="14.5" thickBot="1" x14ac:dyDescent="0.35">
      <c r="A145" s="230"/>
      <c r="B145" s="231"/>
      <c r="C145" s="232"/>
      <c r="D145" s="233"/>
      <c r="E145" s="1182" t="s">
        <v>481</v>
      </c>
      <c r="F145" s="1701"/>
      <c r="G145" s="1702"/>
      <c r="H145" s="1704" t="s">
        <v>69</v>
      </c>
      <c r="I145" s="1705" t="s">
        <v>70</v>
      </c>
      <c r="J145" s="1706"/>
      <c r="K145" s="559"/>
      <c r="L145" s="1707" t="s">
        <v>71</v>
      </c>
      <c r="M145" s="1708" t="s">
        <v>129</v>
      </c>
      <c r="N145" s="3"/>
      <c r="O145" s="206"/>
      <c r="P145" s="206"/>
      <c r="Q145" s="206"/>
      <c r="R145" s="206"/>
      <c r="S145" s="206"/>
      <c r="T145" s="206"/>
    </row>
    <row r="146" spans="1:20" s="251" customFormat="1" ht="12.75" customHeight="1" thickBot="1" x14ac:dyDescent="0.35">
      <c r="A146" s="226" t="s">
        <v>0</v>
      </c>
      <c r="B146" s="227" t="s">
        <v>1</v>
      </c>
      <c r="C146" s="228" t="s">
        <v>73</v>
      </c>
      <c r="D146" s="229" t="s">
        <v>74</v>
      </c>
      <c r="E146" s="1703"/>
      <c r="F146" s="1703"/>
      <c r="G146" s="1121"/>
      <c r="H146" s="1401"/>
      <c r="I146" s="627" t="s">
        <v>75</v>
      </c>
      <c r="J146" s="628" t="s">
        <v>76</v>
      </c>
      <c r="K146" s="560"/>
      <c r="L146" s="1081"/>
      <c r="M146" s="1083"/>
      <c r="N146" s="3"/>
      <c r="O146" s="206"/>
      <c r="P146" s="206"/>
      <c r="Q146" s="206"/>
      <c r="R146" s="206"/>
      <c r="S146" s="206"/>
      <c r="T146" s="206"/>
    </row>
    <row r="147" spans="1:20" s="251" customFormat="1" ht="29.5" customHeight="1" x14ac:dyDescent="0.3">
      <c r="A147" s="332"/>
      <c r="B147" s="333"/>
      <c r="C147" s="334"/>
      <c r="D147" s="335"/>
      <c r="E147" s="219">
        <v>1</v>
      </c>
      <c r="F147" s="1737" t="s">
        <v>598</v>
      </c>
      <c r="G147" s="1738"/>
      <c r="H147" s="36">
        <v>3</v>
      </c>
      <c r="I147" s="645">
        <f>IF(AND(OR(A147="x", A147="p"),NOT(B147="n")),H147,0)</f>
        <v>0</v>
      </c>
      <c r="J147" s="646">
        <f>IF(OR(D147="m", C147="y"),H147,0)</f>
        <v>0</v>
      </c>
      <c r="K147" s="31">
        <f>IF(AND(J147&gt;0,C147="y"),H147,0)</f>
        <v>0</v>
      </c>
      <c r="L147" s="210" t="s">
        <v>130</v>
      </c>
      <c r="M147" s="781"/>
      <c r="N147" s="206"/>
      <c r="O147" s="257" t="str">
        <f>HYPERLINK("https://www.resnet.us/about/hersh2o/","HERS H20")</f>
        <v>HERS H20</v>
      </c>
      <c r="P147" s="206"/>
      <c r="Q147" s="206"/>
      <c r="R147" s="206"/>
      <c r="S147" s="206"/>
      <c r="T147" s="206"/>
    </row>
    <row r="148" spans="1:20" s="251" customFormat="1" ht="26.25" customHeight="1" thickBot="1" x14ac:dyDescent="0.35">
      <c r="A148" s="332"/>
      <c r="B148" s="333"/>
      <c r="C148" s="334"/>
      <c r="D148" s="335"/>
      <c r="E148" s="34">
        <v>2</v>
      </c>
      <c r="F148" s="1732" t="s">
        <v>599</v>
      </c>
      <c r="G148" s="1733"/>
      <c r="H148" s="36">
        <v>3</v>
      </c>
      <c r="I148" s="40">
        <f>IF(AND(OR(A148="x", A148="p"),NOT(B148="n")),H148,0)</f>
        <v>0</v>
      </c>
      <c r="J148" s="641">
        <f>IF(OR(D148="m", C148="y"),H148,0)</f>
        <v>0</v>
      </c>
      <c r="K148" s="31">
        <f>IF(AND(J148&gt;0,C148="y"),H148,0)</f>
        <v>0</v>
      </c>
      <c r="L148" s="64" t="s">
        <v>130</v>
      </c>
      <c r="M148" s="793"/>
      <c r="N148" s="206"/>
      <c r="O148" s="257" t="str">
        <f>HYPERLINK("https://www.epa.gov/watersense/water-budget-tool se Outdoor Water Calculator","Water Sense outdoor water budget tool")</f>
        <v>Water Sense outdoor water budget tool</v>
      </c>
      <c r="P148" s="206"/>
      <c r="Q148" s="206"/>
      <c r="R148" s="206"/>
      <c r="S148" s="206"/>
      <c r="T148" s="206"/>
    </row>
    <row r="149" spans="1:20" s="430" customFormat="1" ht="12.75" customHeight="1" thickBot="1" x14ac:dyDescent="0.35">
      <c r="A149" s="446"/>
      <c r="B149" s="448"/>
      <c r="C149" s="448"/>
      <c r="D149" s="451" t="s">
        <v>131</v>
      </c>
      <c r="E149" s="456"/>
      <c r="F149" s="457"/>
      <c r="G149" s="65"/>
      <c r="H149" s="66"/>
      <c r="I149" s="67"/>
      <c r="J149" s="637"/>
      <c r="K149" s="68"/>
      <c r="L149" s="1084"/>
      <c r="M149" s="1085"/>
      <c r="N149" s="8"/>
      <c r="O149" s="8"/>
      <c r="P149" s="8"/>
      <c r="Q149" s="8"/>
      <c r="R149" s="8"/>
      <c r="S149" s="8"/>
      <c r="T149" s="8"/>
    </row>
    <row r="150" spans="1:20" s="251" customFormat="1" ht="52.5" customHeight="1" thickBot="1" x14ac:dyDescent="0.35">
      <c r="A150" s="1227"/>
      <c r="B150" s="1229"/>
      <c r="C150" s="1308"/>
      <c r="D150" s="1232"/>
      <c r="E150" s="1735">
        <v>3</v>
      </c>
      <c r="F150" s="1734" t="s">
        <v>421</v>
      </c>
      <c r="G150" s="1245"/>
      <c r="H150" s="1294" t="s">
        <v>132</v>
      </c>
      <c r="I150" s="1106">
        <f>IF(AND(A150="p",ISNUMBER(F151),F151&gt;0), MIN(10,ROUNDDOWN(F151/10,0)),0)</f>
        <v>0</v>
      </c>
      <c r="J150" s="1412">
        <f>IF(AND(OR(C150="y",D150="m"),ISNUMBER(F151),F151&gt;0,NOT(B150="n")), MIN(10,ROUNDDOWN(F151/10,0)),0)</f>
        <v>0</v>
      </c>
      <c r="K150" s="1413">
        <f>IF(AND(OR(C150="y"),ISNUMBER(F151),F151&gt;0), MIN(10,ROUNDDOWN(F151/10,0)),0)</f>
        <v>0</v>
      </c>
      <c r="L150" s="1027" t="s">
        <v>60</v>
      </c>
      <c r="M150" s="1440"/>
      <c r="N150" s="206"/>
      <c r="O150" s="209" t="str">
        <f>HYPERLINK("https://www.epa.gov/watersense/landscaping-tips","EPA WaterSense Smart Outdoor Practices")</f>
        <v>EPA WaterSense Smart Outdoor Practices</v>
      </c>
      <c r="P150" s="208"/>
      <c r="Q150" s="208"/>
      <c r="R150" s="208"/>
      <c r="S150" s="208"/>
      <c r="T150" s="208"/>
    </row>
    <row r="151" spans="1:20" s="251" customFormat="1" ht="14.25" customHeight="1" x14ac:dyDescent="0.3">
      <c r="A151" s="1392"/>
      <c r="B151" s="1616"/>
      <c r="C151" s="1616"/>
      <c r="D151" s="1471"/>
      <c r="E151" s="1736"/>
      <c r="F151" s="346">
        <v>0</v>
      </c>
      <c r="G151" s="265" t="s">
        <v>133</v>
      </c>
      <c r="H151" s="1444"/>
      <c r="I151" s="1153"/>
      <c r="J151" s="1154"/>
      <c r="K151" s="1034"/>
      <c r="L151" s="1034"/>
      <c r="M151" s="1441"/>
      <c r="N151" s="208"/>
      <c r="O151" s="209"/>
      <c r="P151" s="208"/>
      <c r="Q151" s="208"/>
      <c r="R151" s="208"/>
      <c r="S151" s="208"/>
      <c r="T151" s="208"/>
    </row>
    <row r="152" spans="1:20" s="251" customFormat="1" ht="14.25" customHeight="1" x14ac:dyDescent="0.3">
      <c r="A152" s="842"/>
      <c r="B152" s="884"/>
      <c r="C152" s="884"/>
      <c r="D152" s="844"/>
      <c r="E152" s="45">
        <v>4</v>
      </c>
      <c r="F152" s="1696" t="s">
        <v>600</v>
      </c>
      <c r="G152" s="1123"/>
      <c r="H152" s="218"/>
      <c r="I152" s="143"/>
      <c r="J152" s="144"/>
      <c r="K152" s="39"/>
      <c r="L152" s="1027" t="s">
        <v>603</v>
      </c>
      <c r="M152" s="1030"/>
      <c r="N152" s="208"/>
      <c r="O152" s="208"/>
      <c r="P152" s="208"/>
      <c r="Q152" s="208"/>
      <c r="R152" s="208"/>
      <c r="S152" s="208"/>
      <c r="T152" s="208"/>
    </row>
    <row r="153" spans="1:20" s="251" customFormat="1" ht="15" customHeight="1" x14ac:dyDescent="0.3">
      <c r="A153" s="322"/>
      <c r="B153" s="323"/>
      <c r="C153" s="324"/>
      <c r="D153" s="325"/>
      <c r="E153" s="49" t="s">
        <v>79</v>
      </c>
      <c r="F153" s="1430" t="s">
        <v>624</v>
      </c>
      <c r="G153" s="1431"/>
      <c r="H153" s="46">
        <v>1</v>
      </c>
      <c r="I153" s="630">
        <f>IF(AND(OR(A153="x", A153="p"),NOT(OR(B153="n", A154="x", A154="p"))),H153,0)</f>
        <v>0</v>
      </c>
      <c r="J153" s="638">
        <f>IF(AND(OR(D153="m", C153="y"),NOT(D154="m"),NOT(C154="y")),H153,0)</f>
        <v>0</v>
      </c>
      <c r="K153" s="39">
        <f>IF(AND(J153&gt;0,C153="y"),H153,0)</f>
        <v>0</v>
      </c>
      <c r="L153" s="1028"/>
      <c r="M153" s="1031"/>
      <c r="N153" s="208"/>
      <c r="O153" s="208"/>
      <c r="P153" s="208"/>
      <c r="Q153" s="208"/>
      <c r="R153" s="208"/>
      <c r="S153" s="208"/>
      <c r="T153" s="208"/>
    </row>
    <row r="154" spans="1:20" s="251" customFormat="1" ht="15" customHeight="1" x14ac:dyDescent="0.3">
      <c r="A154" s="293"/>
      <c r="B154" s="294"/>
      <c r="C154" s="295"/>
      <c r="D154" s="296"/>
      <c r="E154" s="49" t="s">
        <v>80</v>
      </c>
      <c r="F154" s="1697" t="s">
        <v>625</v>
      </c>
      <c r="G154" s="1698"/>
      <c r="H154" s="46">
        <v>2</v>
      </c>
      <c r="I154" s="630">
        <f>IF(AND(OR(A154="x", A154="p"),NOT(OR(B154="n", A153="x", A153="p"))),H154,0)</f>
        <v>0</v>
      </c>
      <c r="J154" s="638">
        <f>IF(AND(OR(D154="m", C154="y"),NOT(D153="m"),NOT(C153="y"),NOT(D155="m")),H154,0)</f>
        <v>0</v>
      </c>
      <c r="K154" s="39">
        <f>IF(AND(J154&gt;0,C154="y"),H154,0)</f>
        <v>0</v>
      </c>
      <c r="L154" s="1028"/>
      <c r="M154" s="1031"/>
      <c r="N154" s="208"/>
      <c r="O154" s="1045"/>
      <c r="P154" s="1022"/>
      <c r="Q154" s="1022"/>
      <c r="R154" s="1022"/>
      <c r="S154" s="208"/>
      <c r="T154" s="208"/>
    </row>
    <row r="155" spans="1:20" s="251" customFormat="1" ht="15" customHeight="1" x14ac:dyDescent="0.3">
      <c r="A155" s="293"/>
      <c r="B155" s="294"/>
      <c r="C155" s="295"/>
      <c r="D155" s="296"/>
      <c r="E155" s="49" t="s">
        <v>82</v>
      </c>
      <c r="F155" s="1699" t="s">
        <v>601</v>
      </c>
      <c r="G155" s="1700"/>
      <c r="H155" s="46">
        <v>3</v>
      </c>
      <c r="I155" s="630">
        <f>IF(AND(OR(A155="x", A155="p"),NOT(OR(B155="n", A156="x", A156="p", A157="x", A157="p"))),H155,0)</f>
        <v>0</v>
      </c>
      <c r="J155" s="638">
        <f>IF(AND(OR(D155="m",C155="y"),NOT(C156="y"),NOT(D156="m"),NOT(D157="m"),NOT(C157="y")),H155,0)</f>
        <v>0</v>
      </c>
      <c r="K155" s="39">
        <f>IF(AND(J155&gt;0,C155="y"),H155,0)</f>
        <v>0</v>
      </c>
      <c r="L155" s="1028"/>
      <c r="M155" s="1031"/>
      <c r="N155" s="208"/>
      <c r="O155" s="208"/>
      <c r="P155" s="208"/>
      <c r="Q155" s="208"/>
      <c r="R155" s="208"/>
      <c r="S155" s="208"/>
      <c r="T155" s="208"/>
    </row>
    <row r="156" spans="1:20" s="251" customFormat="1" ht="15" customHeight="1" x14ac:dyDescent="0.3">
      <c r="A156" s="293"/>
      <c r="B156" s="294"/>
      <c r="C156" s="295"/>
      <c r="D156" s="296"/>
      <c r="E156" s="49" t="s">
        <v>83</v>
      </c>
      <c r="F156" s="1699" t="s">
        <v>602</v>
      </c>
      <c r="G156" s="1700"/>
      <c r="H156" s="46">
        <v>4</v>
      </c>
      <c r="I156" s="630">
        <f>IF(AND(OR(A156="x", A156="p"),NOT(OR(B156="n", A155="x", A155="p", A157="x", A157="p"))),H156,0)</f>
        <v>0</v>
      </c>
      <c r="J156" s="638">
        <f>IF(AND(OR(D156="m",C156="y"),NOT(D155="m"),NOT(C155="y"),NOT(C157="y"),NOT(D157="m")),H156,0)</f>
        <v>0</v>
      </c>
      <c r="K156" s="39">
        <f>IF(AND(J156&gt;0,C156="y"),H156,0)</f>
        <v>0</v>
      </c>
      <c r="L156" s="1028"/>
      <c r="M156" s="1031"/>
      <c r="N156" s="208"/>
      <c r="O156" s="257" t="str">
        <f>HYPERLINK("https://files.nc.gov/ncdeq/Energy%20Mineral%20and%20Land%20Resources/Stormwater/C-7%20%20Rainwater%20Harvesting%2020170811.pdf","NC DEQ Rainwater manual")</f>
        <v>NC DEQ Rainwater manual</v>
      </c>
      <c r="P156" s="208"/>
      <c r="Q156" s="208"/>
      <c r="R156" s="208"/>
      <c r="S156" s="208"/>
      <c r="T156" s="208"/>
    </row>
    <row r="157" spans="1:20" s="251" customFormat="1" ht="37.5" customHeight="1" x14ac:dyDescent="0.3">
      <c r="A157" s="326"/>
      <c r="B157" s="327"/>
      <c r="C157" s="328"/>
      <c r="D157" s="329"/>
      <c r="E157" s="50" t="s">
        <v>137</v>
      </c>
      <c r="F157" s="1432" t="s">
        <v>530</v>
      </c>
      <c r="G157" s="1433"/>
      <c r="H157" s="69">
        <v>10</v>
      </c>
      <c r="I157" s="647">
        <f>IF(AND(OR(A157="x", A157="p"),NOT(OR(B157="n", A155="x", A155="p", A156="x", A156="p"))),H157,0)</f>
        <v>0</v>
      </c>
      <c r="J157" s="648">
        <f>IF(AND(OR(D157="m",C157="y"),NOT(D155="m"),NOT(C155="y"),NOT(D156="m"),NOT(C156="y")),H157,0)</f>
        <v>0</v>
      </c>
      <c r="K157" s="39">
        <f>IF(AND(J157&gt;0,C157="y"),H157,0)</f>
        <v>0</v>
      </c>
      <c r="L157" s="1034"/>
      <c r="M157" s="1091"/>
      <c r="N157" s="208"/>
      <c r="O157" s="257" t="str">
        <f>HYPERLINK("https://brunswick.ces.ncsu.edu/wp-content/uploads/2013/04/WaterHarvestHome2008.pdf?fwd=no","Rainwater Harvesting: Guidance for Homeowners")</f>
        <v>Rainwater Harvesting: Guidance for Homeowners</v>
      </c>
      <c r="P157" s="208"/>
      <c r="Q157" s="208"/>
      <c r="R157" s="208"/>
      <c r="S157" s="208"/>
      <c r="T157" s="208"/>
    </row>
    <row r="158" spans="1:20" s="251" customFormat="1" ht="14.25" customHeight="1" x14ac:dyDescent="0.3">
      <c r="A158" s="842"/>
      <c r="B158" s="884"/>
      <c r="C158" s="884"/>
      <c r="D158" s="844"/>
      <c r="E158" s="45">
        <v>5</v>
      </c>
      <c r="F158" s="1371" t="s">
        <v>135</v>
      </c>
      <c r="G158" s="1040"/>
      <c r="H158" s="218"/>
      <c r="I158" s="143"/>
      <c r="J158" s="144"/>
      <c r="K158" s="39"/>
      <c r="L158" s="1027" t="s">
        <v>60</v>
      </c>
      <c r="M158" s="1350"/>
      <c r="N158" s="208"/>
      <c r="O158" s="208"/>
      <c r="P158" s="208"/>
      <c r="Q158" s="208"/>
      <c r="R158" s="208"/>
      <c r="S158" s="208"/>
      <c r="T158" s="208"/>
    </row>
    <row r="159" spans="1:20" s="251" customFormat="1" ht="15" customHeight="1" x14ac:dyDescent="0.3">
      <c r="A159" s="322"/>
      <c r="B159" s="323"/>
      <c r="C159" s="324"/>
      <c r="D159" s="325"/>
      <c r="E159" s="49" t="s">
        <v>79</v>
      </c>
      <c r="F159" s="1383" t="s">
        <v>441</v>
      </c>
      <c r="G159" s="1040"/>
      <c r="H159" s="46">
        <v>3</v>
      </c>
      <c r="I159" s="630">
        <f>IF(AND(OR(A159="x", A159="p"),NOT(OR(B159="n", A160="x", A160="p", A161="x", A161="p"))),H159,0)</f>
        <v>0</v>
      </c>
      <c r="J159" s="638">
        <f>IF(AND(OR(D159="m", C159="y"),NOT(B159="n"),NOT(D160="m"),NOT(C160="y"), NOT(D161="m"), NOT(C161="y")),H159,0)</f>
        <v>0</v>
      </c>
      <c r="K159" s="39">
        <f>IF(AND(J159&gt;0,C159="y"),H159,0)</f>
        <v>0</v>
      </c>
      <c r="L159" s="1028"/>
      <c r="M159" s="1351"/>
      <c r="N159" s="208"/>
      <c r="O159" s="257" t="str">
        <f>HYPERLINK("https://files.nc.gov/ncdeq/Energy%20Mineral%20and%20Land%20Resources/Stormwater/C-7%20%20Rainwater%20Harvesting%2020170811.pdf","NC DEQ Rainwater manual")</f>
        <v>NC DEQ Rainwater manual</v>
      </c>
      <c r="P159" s="208"/>
      <c r="Q159" s="208"/>
      <c r="R159" s="208"/>
      <c r="S159" s="208"/>
      <c r="T159" s="208"/>
    </row>
    <row r="160" spans="1:20" s="251" customFormat="1" ht="15" customHeight="1" x14ac:dyDescent="0.3">
      <c r="A160" s="297"/>
      <c r="B160" s="298"/>
      <c r="C160" s="299"/>
      <c r="D160" s="300"/>
      <c r="E160" s="168" t="s">
        <v>80</v>
      </c>
      <c r="F160" s="1383" t="s">
        <v>442</v>
      </c>
      <c r="G160" s="1040"/>
      <c r="H160" s="46">
        <v>5</v>
      </c>
      <c r="I160" s="630">
        <f>IF(AND(OR(A160="x", A160="p"),NOT(OR(B160="n", A159="x", A159="p", A161="x", A161="p"))),H160,0)</f>
        <v>0</v>
      </c>
      <c r="J160" s="638">
        <f>IF(AND(OR(D160="m", C160="y"),NOT(B160="n"),NOT(D159="m"),NOT(C159="y"), NOT(D161="m"), NOT(C161="y")),H160,0)</f>
        <v>0</v>
      </c>
      <c r="K160" s="39">
        <f>IF(AND(J160&gt;0,C160="y"),H160,0)</f>
        <v>0</v>
      </c>
      <c r="L160" s="1028"/>
      <c r="M160" s="1351"/>
      <c r="N160" s="208"/>
      <c r="O160" s="208"/>
      <c r="P160" s="208"/>
      <c r="Q160" s="208"/>
      <c r="R160" s="208"/>
      <c r="S160" s="208"/>
      <c r="T160" s="208"/>
    </row>
    <row r="161" spans="1:20" s="251" customFormat="1" ht="15" customHeight="1" x14ac:dyDescent="0.3">
      <c r="A161" s="293"/>
      <c r="B161" s="294"/>
      <c r="C161" s="295"/>
      <c r="D161" s="296"/>
      <c r="E161" s="168" t="s">
        <v>82</v>
      </c>
      <c r="F161" s="1383" t="s">
        <v>443</v>
      </c>
      <c r="G161" s="1040"/>
      <c r="H161" s="69">
        <v>10</v>
      </c>
      <c r="I161" s="630">
        <f>IF(AND(OR(A161="x", A161="p"),NOT(OR(B161="n", A160="x", A160="p", A159="x", A159="p"))),H161,0)</f>
        <v>0</v>
      </c>
      <c r="J161" s="638">
        <f>IF(AND(OR(D161="m", C161="y"),NOT(B161="n"),NOT(D159="m"),NOT(C159="y"), NOT(D160="m"), NOT(C160="y")),H161,0)</f>
        <v>0</v>
      </c>
      <c r="K161" s="39">
        <f>IF(AND(J161&gt;0,C161="y"),H161,0)</f>
        <v>0</v>
      </c>
      <c r="L161" s="1034"/>
      <c r="M161" s="1352"/>
      <c r="N161" s="208"/>
      <c r="O161" s="1021" t="str">
        <f>HYPERLINK("https://www.infiltratorwater.com/Customer-Content/www/CMS/files/case-studies/IWT_CS58_LEEDRainwater_NC.pdf","Case Study: potable use of rainwater")</f>
        <v>Case Study: potable use of rainwater</v>
      </c>
      <c r="P161" s="1022"/>
      <c r="Q161" s="1022"/>
      <c r="R161" s="1022"/>
      <c r="S161" s="208"/>
      <c r="T161" s="208"/>
    </row>
    <row r="162" spans="1:20" s="540" customFormat="1" ht="14.25" customHeight="1" x14ac:dyDescent="0.3">
      <c r="A162" s="956"/>
      <c r="B162" s="957"/>
      <c r="C162" s="957"/>
      <c r="D162" s="958"/>
      <c r="E162" s="535">
        <v>6</v>
      </c>
      <c r="F162" s="1414" t="s">
        <v>467</v>
      </c>
      <c r="G162" s="1245"/>
      <c r="H162" s="536"/>
      <c r="I162" s="649">
        <f t="shared" ref="I162:I168" si="8">IF(AND(OR(A162="x", A162="p"),NOT(B162="n")),H162,0)</f>
        <v>0</v>
      </c>
      <c r="J162" s="650"/>
      <c r="K162" s="537"/>
      <c r="L162" s="1693" t="s">
        <v>60</v>
      </c>
      <c r="M162" s="1030" t="s">
        <v>550</v>
      </c>
      <c r="N162" s="538"/>
      <c r="O162" s="539"/>
      <c r="P162" s="539"/>
      <c r="Q162" s="539"/>
      <c r="R162" s="539"/>
      <c r="S162" s="539"/>
      <c r="T162" s="539"/>
    </row>
    <row r="163" spans="1:20" s="251" customFormat="1" ht="14.25" customHeight="1" x14ac:dyDescent="0.3">
      <c r="A163" s="336"/>
      <c r="B163" s="337"/>
      <c r="C163" s="338"/>
      <c r="D163" s="339"/>
      <c r="E163" s="49" t="s">
        <v>79</v>
      </c>
      <c r="F163" s="1383" t="s">
        <v>463</v>
      </c>
      <c r="G163" s="1040"/>
      <c r="H163" s="137">
        <v>3</v>
      </c>
      <c r="I163" s="632">
        <f t="shared" si="8"/>
        <v>0</v>
      </c>
      <c r="J163" s="633">
        <f>IF(OR(D163="m", C163="y"),H163,0)</f>
        <v>0</v>
      </c>
      <c r="K163" s="39">
        <f t="shared" ref="K163:K169" si="9">IF(AND(J163&gt;0,C163="y"),H163,0)</f>
        <v>0</v>
      </c>
      <c r="L163" s="1694"/>
      <c r="M163" s="1031"/>
      <c r="N163" s="206"/>
      <c r="O163" s="206"/>
      <c r="P163" s="206"/>
      <c r="Q163" s="206"/>
      <c r="R163" s="206"/>
      <c r="S163" s="206"/>
      <c r="T163" s="206"/>
    </row>
    <row r="164" spans="1:20" s="251" customFormat="1" ht="14.25" customHeight="1" x14ac:dyDescent="0.3">
      <c r="A164" s="289"/>
      <c r="B164" s="290"/>
      <c r="C164" s="291"/>
      <c r="D164" s="292"/>
      <c r="E164" s="89" t="s">
        <v>80</v>
      </c>
      <c r="F164" s="1384" t="s">
        <v>136</v>
      </c>
      <c r="G164" s="1036"/>
      <c r="H164" s="137">
        <v>3</v>
      </c>
      <c r="I164" s="632">
        <f t="shared" si="8"/>
        <v>0</v>
      </c>
      <c r="J164" s="633">
        <f t="shared" ref="J164:J168" si="10">IF(OR(D164="m", C164="y"),H164,0)</f>
        <v>0</v>
      </c>
      <c r="K164" s="39">
        <f t="shared" si="9"/>
        <v>0</v>
      </c>
      <c r="L164" s="1694"/>
      <c r="M164" s="1031"/>
      <c r="N164" s="206"/>
      <c r="O164" s="257" t="str">
        <f>HYPERLINK("https://oasisdesign.net/greywater/stubout.htm","Oasis Design: Stub out for greywater")</f>
        <v>Oasis Design: Stub out for greywater</v>
      </c>
      <c r="P164" s="206"/>
      <c r="Q164" s="206"/>
      <c r="R164" s="206"/>
      <c r="S164" s="206"/>
      <c r="T164" s="206"/>
    </row>
    <row r="165" spans="1:20" s="251" customFormat="1" ht="14" x14ac:dyDescent="0.3">
      <c r="A165" s="293"/>
      <c r="B165" s="294"/>
      <c r="C165" s="295"/>
      <c r="D165" s="296"/>
      <c r="E165" s="49" t="s">
        <v>82</v>
      </c>
      <c r="F165" s="1383" t="s">
        <v>462</v>
      </c>
      <c r="G165" s="1040"/>
      <c r="H165" s="137">
        <v>4</v>
      </c>
      <c r="I165" s="632">
        <f t="shared" si="8"/>
        <v>0</v>
      </c>
      <c r="J165" s="633">
        <f t="shared" si="10"/>
        <v>0</v>
      </c>
      <c r="K165" s="39">
        <f t="shared" si="9"/>
        <v>0</v>
      </c>
      <c r="L165" s="1694"/>
      <c r="M165" s="1031"/>
      <c r="N165" s="206"/>
      <c r="O165" s="1075" t="str">
        <f>HYPERLINK("https://www.greenbuilt.org/articles/142-plumb-green-with-graywater/","Plumb with Greywater")</f>
        <v>Plumb with Greywater</v>
      </c>
      <c r="P165" s="1022"/>
      <c r="Q165" s="1022"/>
      <c r="R165" s="206"/>
      <c r="S165" s="206"/>
      <c r="T165" s="206"/>
    </row>
    <row r="166" spans="1:20" s="251" customFormat="1" ht="14.25" customHeight="1" x14ac:dyDescent="0.3">
      <c r="A166" s="289"/>
      <c r="B166" s="290"/>
      <c r="C166" s="291"/>
      <c r="D166" s="292"/>
      <c r="E166" s="168" t="s">
        <v>83</v>
      </c>
      <c r="F166" s="1384" t="s">
        <v>531</v>
      </c>
      <c r="G166" s="1036"/>
      <c r="H166" s="137">
        <v>5</v>
      </c>
      <c r="I166" s="632">
        <f t="shared" si="8"/>
        <v>0</v>
      </c>
      <c r="J166" s="633">
        <f t="shared" si="10"/>
        <v>0</v>
      </c>
      <c r="K166" s="39">
        <f t="shared" si="9"/>
        <v>0</v>
      </c>
      <c r="L166" s="1694"/>
      <c r="M166" s="1031"/>
      <c r="N166" s="206"/>
      <c r="O166" s="206"/>
      <c r="P166" s="206"/>
      <c r="Q166" s="206"/>
      <c r="R166" s="206"/>
      <c r="S166" s="206"/>
      <c r="T166" s="206"/>
    </row>
    <row r="167" spans="1:20" s="251" customFormat="1" ht="14.25" customHeight="1" x14ac:dyDescent="0.3">
      <c r="A167" s="326"/>
      <c r="B167" s="327"/>
      <c r="C167" s="328"/>
      <c r="D167" s="329"/>
      <c r="E167" s="50" t="s">
        <v>137</v>
      </c>
      <c r="F167" s="1375" t="s">
        <v>138</v>
      </c>
      <c r="G167" s="1024"/>
      <c r="H167" s="71">
        <v>6</v>
      </c>
      <c r="I167" s="639">
        <f t="shared" si="8"/>
        <v>0</v>
      </c>
      <c r="J167" s="651">
        <f t="shared" si="10"/>
        <v>0</v>
      </c>
      <c r="K167" s="39">
        <f t="shared" si="9"/>
        <v>0</v>
      </c>
      <c r="L167" s="1695"/>
      <c r="M167" s="1091"/>
      <c r="N167" s="206"/>
      <c r="O167" s="206"/>
      <c r="P167" s="206"/>
      <c r="Q167" s="206"/>
      <c r="R167" s="206"/>
      <c r="S167" s="206"/>
      <c r="T167" s="206"/>
    </row>
    <row r="168" spans="1:20" s="251" customFormat="1" ht="18.75" customHeight="1" x14ac:dyDescent="0.3">
      <c r="A168" s="332"/>
      <c r="B168" s="333"/>
      <c r="C168" s="334"/>
      <c r="D168" s="335"/>
      <c r="E168" s="32">
        <v>7</v>
      </c>
      <c r="F168" s="1073" t="s">
        <v>139</v>
      </c>
      <c r="G168" s="1026"/>
      <c r="H168" s="36">
        <v>1</v>
      </c>
      <c r="I168" s="642">
        <f t="shared" si="8"/>
        <v>0</v>
      </c>
      <c r="J168" s="643">
        <f t="shared" si="10"/>
        <v>0</v>
      </c>
      <c r="K168" s="31">
        <f t="shared" si="9"/>
        <v>0</v>
      </c>
      <c r="L168" s="210" t="s">
        <v>60</v>
      </c>
      <c r="M168" s="703"/>
      <c r="N168" s="206"/>
      <c r="O168" s="206"/>
      <c r="P168" s="206"/>
      <c r="Q168" s="206"/>
      <c r="R168" s="206"/>
      <c r="S168" s="206"/>
      <c r="T168" s="206"/>
    </row>
    <row r="169" spans="1:20" s="251" customFormat="1" ht="30.75" customHeight="1" thickBot="1" x14ac:dyDescent="0.35">
      <c r="A169" s="332"/>
      <c r="B169" s="333"/>
      <c r="C169" s="334"/>
      <c r="D169" s="335"/>
      <c r="E169" s="222">
        <v>8</v>
      </c>
      <c r="F169" s="1046" t="s">
        <v>140</v>
      </c>
      <c r="G169" s="1047"/>
      <c r="H169" s="218">
        <v>1</v>
      </c>
      <c r="I169" s="636">
        <f>IF(AND(OR(A169="x", A169="p"),NOT(B169="n")),H169,0)</f>
        <v>0</v>
      </c>
      <c r="J169" s="652">
        <f>IF(OR(D169="m", C169="y"),H169,0)</f>
        <v>0</v>
      </c>
      <c r="K169" s="31">
        <f t="shared" si="9"/>
        <v>0</v>
      </c>
      <c r="L169" s="207" t="s">
        <v>60</v>
      </c>
      <c r="M169" s="702"/>
      <c r="N169" s="206"/>
      <c r="O169" s="257" t="str">
        <f>HYPERLINK("https://www.epa.gov/watersense/irrigation-controllers","Water Sense Irrigation Controllers")</f>
        <v>Water Sense Irrigation Controllers</v>
      </c>
      <c r="P169" s="206"/>
      <c r="Q169" s="206"/>
      <c r="R169" s="206"/>
      <c r="S169" s="206"/>
      <c r="T169" s="206"/>
    </row>
    <row r="170" spans="1:20" s="430" customFormat="1" ht="14.25" customHeight="1" thickBot="1" x14ac:dyDescent="0.35">
      <c r="A170" s="446"/>
      <c r="B170" s="448"/>
      <c r="C170" s="448"/>
      <c r="D170" s="451" t="s">
        <v>141</v>
      </c>
      <c r="E170" s="456"/>
      <c r="F170" s="465"/>
      <c r="G170" s="72"/>
      <c r="H170" s="66"/>
      <c r="I170" s="67"/>
      <c r="J170" s="653"/>
      <c r="K170" s="73"/>
      <c r="L170" s="461"/>
      <c r="M170" s="462"/>
      <c r="N170" s="8"/>
      <c r="O170" s="8"/>
      <c r="P170" s="8"/>
      <c r="Q170" s="8"/>
      <c r="R170" s="8"/>
      <c r="S170" s="8"/>
      <c r="T170" s="8"/>
    </row>
    <row r="171" spans="1:20" s="497" customFormat="1" ht="14.25" customHeight="1" x14ac:dyDescent="0.3">
      <c r="A171" s="842"/>
      <c r="B171" s="884"/>
      <c r="C171" s="884"/>
      <c r="D171" s="844"/>
      <c r="E171" s="82">
        <v>10</v>
      </c>
      <c r="F171" s="1381" t="s">
        <v>695</v>
      </c>
      <c r="G171" s="1038"/>
      <c r="H171" s="501"/>
      <c r="I171" s="143">
        <f>IF(AND(OR(A171="x", A171="p"),NOT(B171="n")),H171,0)</f>
        <v>0</v>
      </c>
      <c r="J171" s="144">
        <f>IF(OR(D171="m", C171="y"),H171,0)</f>
        <v>0</v>
      </c>
      <c r="K171" s="39"/>
      <c r="L171" s="1027" t="s">
        <v>60</v>
      </c>
      <c r="M171" s="1030"/>
      <c r="N171" s="496"/>
      <c r="O171" s="496"/>
      <c r="P171" s="496"/>
      <c r="Q171" s="496"/>
      <c r="R171" s="496"/>
      <c r="S171" s="496"/>
      <c r="T171" s="496"/>
    </row>
    <row r="172" spans="1:20" s="497" customFormat="1" ht="15" customHeight="1" x14ac:dyDescent="0.3">
      <c r="A172" s="322"/>
      <c r="B172" s="323"/>
      <c r="C172" s="324"/>
      <c r="D172" s="325"/>
      <c r="E172" s="48" t="s">
        <v>79</v>
      </c>
      <c r="F172" s="1063" t="s">
        <v>518</v>
      </c>
      <c r="G172" s="1040"/>
      <c r="H172" s="46">
        <v>1</v>
      </c>
      <c r="I172" s="630">
        <f>IF(AND(OR(A172="x", A172="p"),NOT(OR(B172="n", A173="x", A173="p"))),H172,0)</f>
        <v>0</v>
      </c>
      <c r="J172" s="638">
        <f>IF(AND(OR(D172="m", C172="y"),NOT(D173="m"),NOT(C173="y")),H172,0)</f>
        <v>0</v>
      </c>
      <c r="K172" s="39">
        <f>IF(AND(J172&gt;0,C172="y"),H172,0)</f>
        <v>0</v>
      </c>
      <c r="L172" s="1028"/>
      <c r="M172" s="1031"/>
      <c r="N172" s="496"/>
      <c r="O172" s="496"/>
      <c r="P172" s="496"/>
      <c r="Q172" s="496"/>
      <c r="R172" s="496"/>
      <c r="S172" s="496"/>
      <c r="T172" s="496"/>
    </row>
    <row r="173" spans="1:20" s="497" customFormat="1" ht="15" customHeight="1" x14ac:dyDescent="0.3">
      <c r="A173" s="326"/>
      <c r="B173" s="327"/>
      <c r="C173" s="328"/>
      <c r="D173" s="329"/>
      <c r="E173" s="117" t="s">
        <v>80</v>
      </c>
      <c r="F173" s="1375" t="s">
        <v>519</v>
      </c>
      <c r="G173" s="1024"/>
      <c r="H173" s="69">
        <v>2</v>
      </c>
      <c r="I173" s="639">
        <f>IF(AND(OR(A173="x", A173="p"),NOT(OR(B173="n", A172="x", A172="p"))),H173,0)</f>
        <v>0</v>
      </c>
      <c r="J173" s="640">
        <f>IF(AND(OR(D173="m", C173="y"),NOT(D172="m"),NOT(C172="y")),H173,0)</f>
        <v>0</v>
      </c>
      <c r="K173" s="39">
        <f>IF(AND(J173&gt;0,C173="y"),H173,0)</f>
        <v>0</v>
      </c>
      <c r="L173" s="1034"/>
      <c r="M173" s="1091"/>
      <c r="N173" s="496"/>
      <c r="O173" s="496"/>
      <c r="P173" s="496"/>
      <c r="Q173" s="496"/>
      <c r="R173" s="496"/>
      <c r="S173" s="496"/>
      <c r="T173" s="496"/>
    </row>
    <row r="174" spans="1:20" s="251" customFormat="1" ht="14.25" customHeight="1" x14ac:dyDescent="0.3">
      <c r="A174" s="842"/>
      <c r="B174" s="884"/>
      <c r="C174" s="884"/>
      <c r="D174" s="844"/>
      <c r="E174" s="82">
        <v>11</v>
      </c>
      <c r="F174" s="1381" t="s">
        <v>696</v>
      </c>
      <c r="G174" s="1038"/>
      <c r="H174" s="218"/>
      <c r="I174" s="143">
        <f>IF(AND(OR(A174="x", A174="p"),NOT(B174="n")),H174,0)</f>
        <v>0</v>
      </c>
      <c r="J174" s="144">
        <f>IF(OR(D174="m", C174="y"),H174,0)</f>
        <v>0</v>
      </c>
      <c r="K174" s="39"/>
      <c r="L174" s="1027" t="s">
        <v>60</v>
      </c>
      <c r="M174" s="1030"/>
      <c r="N174" s="208"/>
      <c r="O174" s="208"/>
      <c r="P174" s="208"/>
      <c r="Q174" s="208"/>
      <c r="R174" s="208"/>
      <c r="S174" s="208"/>
      <c r="T174" s="208"/>
    </row>
    <row r="175" spans="1:20" s="251" customFormat="1" ht="15" customHeight="1" x14ac:dyDescent="0.3">
      <c r="A175" s="322"/>
      <c r="B175" s="323"/>
      <c r="C175" s="324"/>
      <c r="D175" s="325"/>
      <c r="E175" s="48" t="s">
        <v>79</v>
      </c>
      <c r="F175" s="1063" t="s">
        <v>142</v>
      </c>
      <c r="G175" s="1040"/>
      <c r="H175" s="46">
        <v>1</v>
      </c>
      <c r="I175" s="630">
        <f>IF(AND(OR(A175="x", A175="p"),NOT(OR(B175="n", A176="x", A176="p"))),H175,0)</f>
        <v>0</v>
      </c>
      <c r="J175" s="638">
        <f>IF(AND(OR(D175="m", C175="y"),NOT(D176="m"),NOT(C176="y")),H175,0)</f>
        <v>0</v>
      </c>
      <c r="K175" s="39">
        <f>IF(AND(J175&gt;0,C175="y"),H175,0)</f>
        <v>0</v>
      </c>
      <c r="L175" s="1028"/>
      <c r="M175" s="1031"/>
      <c r="N175" s="208"/>
      <c r="O175" s="208"/>
      <c r="P175" s="208"/>
      <c r="Q175" s="208"/>
      <c r="R175" s="208"/>
      <c r="S175" s="208"/>
      <c r="T175" s="208"/>
    </row>
    <row r="176" spans="1:20" s="251" customFormat="1" ht="15" customHeight="1" x14ac:dyDescent="0.3">
      <c r="A176" s="326"/>
      <c r="B176" s="327"/>
      <c r="C176" s="328"/>
      <c r="D176" s="329"/>
      <c r="E176" s="117" t="s">
        <v>80</v>
      </c>
      <c r="F176" s="1375" t="s">
        <v>143</v>
      </c>
      <c r="G176" s="1024"/>
      <c r="H176" s="69">
        <v>2</v>
      </c>
      <c r="I176" s="639">
        <f>IF(AND(OR(A176="x", A176="p"),NOT(OR(B176="n", A175="x", A175="p"))),H176,0)</f>
        <v>0</v>
      </c>
      <c r="J176" s="640">
        <f>IF(AND(OR(D176="m", C176="y"),NOT(D175="m"),NOT(C175="y")),H176,0)</f>
        <v>0</v>
      </c>
      <c r="K176" s="39">
        <f>IF(AND(J176&gt;0,C176="y"),H176,0)</f>
        <v>0</v>
      </c>
      <c r="L176" s="1034"/>
      <c r="M176" s="1091"/>
      <c r="N176" s="208"/>
      <c r="O176" s="208"/>
      <c r="P176" s="208"/>
      <c r="Q176" s="208"/>
      <c r="R176" s="208"/>
      <c r="S176" s="208"/>
      <c r="T176" s="208"/>
    </row>
    <row r="177" spans="1:20" s="251" customFormat="1" ht="14.25" customHeight="1" x14ac:dyDescent="0.3">
      <c r="A177" s="842"/>
      <c r="B177" s="884"/>
      <c r="C177" s="884"/>
      <c r="D177" s="844"/>
      <c r="E177" s="82">
        <v>12</v>
      </c>
      <c r="F177" s="1381" t="s">
        <v>697</v>
      </c>
      <c r="G177" s="1038"/>
      <c r="H177" s="218"/>
      <c r="I177" s="143"/>
      <c r="J177" s="144"/>
      <c r="K177" s="39"/>
      <c r="L177" s="1027" t="s">
        <v>60</v>
      </c>
      <c r="M177" s="1030"/>
      <c r="N177" s="208"/>
      <c r="O177" s="208"/>
      <c r="P177" s="208"/>
      <c r="Q177" s="208"/>
      <c r="R177" s="208"/>
      <c r="S177" s="208"/>
      <c r="T177" s="208"/>
    </row>
    <row r="178" spans="1:20" s="251" customFormat="1" ht="15" customHeight="1" x14ac:dyDescent="0.3">
      <c r="A178" s="322"/>
      <c r="B178" s="323"/>
      <c r="C178" s="324"/>
      <c r="D178" s="325"/>
      <c r="E178" s="48" t="s">
        <v>79</v>
      </c>
      <c r="F178" s="1063" t="s">
        <v>144</v>
      </c>
      <c r="G178" s="1040"/>
      <c r="H178" s="46">
        <v>2</v>
      </c>
      <c r="I178" s="630">
        <f>IF(AND(OR(A178="x", A178="p"),NOT(OR(B178="n", A179="x", A179="p"))),H178,0)</f>
        <v>0</v>
      </c>
      <c r="J178" s="638">
        <f>IF(AND(OR(D178="m", C178="y"),NOT(D179="m"),NOT(C179="y")),H178,0)</f>
        <v>0</v>
      </c>
      <c r="K178" s="39">
        <f>IF(AND(J178&gt;0,C178="y"),H178,0)</f>
        <v>0</v>
      </c>
      <c r="L178" s="1028"/>
      <c r="M178" s="1031"/>
      <c r="N178" s="208"/>
      <c r="O178" s="208"/>
      <c r="P178" s="208"/>
      <c r="Q178" s="24"/>
      <c r="R178" s="208"/>
      <c r="S178" s="208"/>
      <c r="T178" s="208"/>
    </row>
    <row r="179" spans="1:20" s="251" customFormat="1" ht="15" customHeight="1" x14ac:dyDescent="0.3">
      <c r="A179" s="305"/>
      <c r="B179" s="327"/>
      <c r="C179" s="328"/>
      <c r="D179" s="329"/>
      <c r="E179" s="117" t="s">
        <v>80</v>
      </c>
      <c r="F179" s="1375" t="s">
        <v>145</v>
      </c>
      <c r="G179" s="1024"/>
      <c r="H179" s="69">
        <v>3</v>
      </c>
      <c r="I179" s="639">
        <f>IF(AND(OR(A179="x", A179="p"),NOT(OR(B179="n", A178="x", A178="p"))),H179,0)</f>
        <v>0</v>
      </c>
      <c r="J179" s="640">
        <f>IF(AND(OR(D179="m", C179="y"),NOT(D178="m"),NOT(C178="y")),H179,0)</f>
        <v>0</v>
      </c>
      <c r="K179" s="39">
        <f>IF(AND(J179&gt;0,C179="y"),H179,0)</f>
        <v>0</v>
      </c>
      <c r="L179" s="1034"/>
      <c r="M179" s="1091"/>
      <c r="N179" s="208"/>
      <c r="O179" s="208"/>
      <c r="P179" s="208"/>
      <c r="Q179" s="208"/>
      <c r="R179" s="208"/>
      <c r="S179" s="208"/>
      <c r="T179" s="208"/>
    </row>
    <row r="180" spans="1:20" s="251" customFormat="1" ht="25.5" customHeight="1" x14ac:dyDescent="0.3">
      <c r="A180" s="842"/>
      <c r="B180" s="884"/>
      <c r="C180" s="884"/>
      <c r="D180" s="844"/>
      <c r="E180" s="82">
        <v>13</v>
      </c>
      <c r="F180" s="1250" t="s">
        <v>698</v>
      </c>
      <c r="G180" s="1047"/>
      <c r="H180" s="218"/>
      <c r="I180" s="143"/>
      <c r="J180" s="144"/>
      <c r="K180" s="39"/>
      <c r="L180" s="1027" t="s">
        <v>60</v>
      </c>
      <c r="M180" s="1350"/>
      <c r="N180" s="208"/>
      <c r="O180" s="208"/>
      <c r="P180" s="208"/>
      <c r="Q180" s="208"/>
      <c r="R180" s="208"/>
      <c r="S180" s="208"/>
      <c r="T180" s="208"/>
    </row>
    <row r="181" spans="1:20" s="251" customFormat="1" ht="14.25" customHeight="1" x14ac:dyDescent="0.3">
      <c r="A181" s="994"/>
      <c r="B181" s="995"/>
      <c r="C181" s="808"/>
      <c r="D181" s="809"/>
      <c r="E181" s="908" t="s">
        <v>79</v>
      </c>
      <c r="F181" s="1377" t="s">
        <v>629</v>
      </c>
      <c r="G181" s="1378"/>
      <c r="H181" s="347" t="s">
        <v>146</v>
      </c>
      <c r="I181" s="945">
        <f>IF(AND(OR(A181="x", A181="p"),NOT(OR(B181="n", A182="x", A182="p"))),H181,0)</f>
        <v>0</v>
      </c>
      <c r="K181" s="800"/>
      <c r="L181" s="1028"/>
      <c r="M181" s="1351"/>
      <c r="N181" s="208"/>
      <c r="O181" s="208"/>
      <c r="P181" s="208"/>
      <c r="Q181" s="208"/>
      <c r="R181" s="208"/>
      <c r="S181" s="208"/>
      <c r="T181" s="208"/>
    </row>
    <row r="182" spans="1:20" s="251" customFormat="1" ht="14.25" customHeight="1" x14ac:dyDescent="0.3">
      <c r="A182" s="996"/>
      <c r="B182" s="997"/>
      <c r="C182" s="803"/>
      <c r="D182" s="804"/>
      <c r="E182" s="909" t="s">
        <v>80</v>
      </c>
      <c r="F182" s="1379" t="s">
        <v>630</v>
      </c>
      <c r="G182" s="1380"/>
      <c r="H182" s="347" t="s">
        <v>147</v>
      </c>
      <c r="I182" s="945">
        <f>IF(AND(OR(A182="x", A182="p"),NOT(OR(B182="n", A183="x", A183="p"))),H182,0)</f>
        <v>0</v>
      </c>
      <c r="J182" s="810"/>
      <c r="K182" s="800"/>
      <c r="L182" s="1028"/>
      <c r="M182" s="1351"/>
      <c r="N182" s="208"/>
      <c r="O182" s="208"/>
      <c r="P182" s="208"/>
      <c r="Q182" s="208"/>
      <c r="R182" s="208"/>
      <c r="S182" s="208"/>
      <c r="T182" s="208"/>
    </row>
    <row r="183" spans="1:20" s="251" customFormat="1" ht="24.75" customHeight="1" x14ac:dyDescent="0.3">
      <c r="A183" s="911"/>
      <c r="B183" s="912"/>
      <c r="C183" s="913"/>
      <c r="D183" s="914"/>
      <c r="E183" s="86">
        <v>14</v>
      </c>
      <c r="F183" s="1345" t="s">
        <v>699</v>
      </c>
      <c r="G183" s="1047"/>
      <c r="H183" s="218">
        <v>2</v>
      </c>
      <c r="I183" s="944">
        <f>IF(AND(OR(A183="x", A183="p"),NOT(B183="n")),H183,0)</f>
        <v>0</v>
      </c>
      <c r="J183" s="910">
        <f>IF(OR(D183="m", C183="y"),H183,0)</f>
        <v>0</v>
      </c>
      <c r="K183" s="798">
        <f>IF(AND(OR(C183="y"),ISNUMBER(#REF!)),IF(#REF!=1,1,IF(#REF!&gt;1,2,0)),0)</f>
        <v>0</v>
      </c>
      <c r="L183" s="811" t="s">
        <v>464</v>
      </c>
      <c r="M183" s="799"/>
      <c r="N183" s="208"/>
      <c r="O183" s="209" t="str">
        <f>HYPERLINK("https://www.allianceforwaterefficiency.org/resources/topic/toilets-tank-type-and-flush-valve","Explanation of UNAR MaP - Alliance for Water Efficiency")</f>
        <v>Explanation of UNAR MaP - Alliance for Water Efficiency</v>
      </c>
      <c r="P183" s="208"/>
      <c r="Q183" s="208"/>
      <c r="R183" s="208"/>
      <c r="S183" s="208"/>
      <c r="T183" s="208"/>
    </row>
    <row r="184" spans="1:20" s="251" customFormat="1" ht="26" customHeight="1" x14ac:dyDescent="0.3">
      <c r="A184" s="842"/>
      <c r="B184" s="884"/>
      <c r="C184" s="884"/>
      <c r="D184" s="844"/>
      <c r="E184" s="82">
        <v>15</v>
      </c>
      <c r="F184" s="1250" t="s">
        <v>700</v>
      </c>
      <c r="G184" s="1047"/>
      <c r="H184" s="218"/>
      <c r="I184" s="143"/>
      <c r="J184" s="144"/>
      <c r="K184" s="39"/>
      <c r="L184" s="1027" t="s">
        <v>464</v>
      </c>
      <c r="M184" s="1030"/>
      <c r="N184" s="206"/>
      <c r="O184" s="1021" t="s">
        <v>148</v>
      </c>
      <c r="P184" s="1022"/>
      <c r="Q184" s="1022"/>
      <c r="R184" s="1022"/>
      <c r="S184" s="1022"/>
      <c r="T184" s="208"/>
    </row>
    <row r="185" spans="1:20" s="251" customFormat="1" ht="12" customHeight="1" x14ac:dyDescent="0.3">
      <c r="A185" s="322"/>
      <c r="B185" s="323"/>
      <c r="C185" s="324"/>
      <c r="D185" s="325"/>
      <c r="E185" s="48" t="s">
        <v>79</v>
      </c>
      <c r="F185" s="1063" t="s">
        <v>149</v>
      </c>
      <c r="G185" s="1040"/>
      <c r="H185" s="46">
        <v>1</v>
      </c>
      <c r="I185" s="630">
        <f>IF(AND(OR(A185="x", A185="p"),NOT(OR(B185="n", A186="x", A186="p"))),H185,0)</f>
        <v>0</v>
      </c>
      <c r="J185" s="638">
        <f>IF(AND(OR(D185="m", C185="y"),NOT(D186="m"),NOT(C186="y")),H185,0)</f>
        <v>0</v>
      </c>
      <c r="K185" s="39">
        <f>IF(AND(J185&gt;0,C185="y"),H185,0)</f>
        <v>0</v>
      </c>
      <c r="L185" s="1028"/>
      <c r="M185" s="1031"/>
      <c r="N185" s="208"/>
      <c r="O185" s="208"/>
      <c r="P185" s="208"/>
      <c r="Q185" s="208"/>
      <c r="R185" s="208"/>
      <c r="S185" s="208"/>
      <c r="T185" s="208"/>
    </row>
    <row r="186" spans="1:20" s="251" customFormat="1" ht="15" customHeight="1" x14ac:dyDescent="0.3">
      <c r="A186" s="326"/>
      <c r="B186" s="327"/>
      <c r="C186" s="328"/>
      <c r="D186" s="329"/>
      <c r="E186" s="117" t="s">
        <v>80</v>
      </c>
      <c r="F186" s="1375" t="s">
        <v>150</v>
      </c>
      <c r="G186" s="1024"/>
      <c r="H186" s="69">
        <v>2</v>
      </c>
      <c r="I186" s="639">
        <f>IF(AND(OR(A186="x", A186="p"),NOT(OR(B186="n", A185="x", A185="p"))),H186,0)</f>
        <v>0</v>
      </c>
      <c r="J186" s="640">
        <f>IF(AND(OR(D186="m", C186="y"),NOT(D185="m"),NOT(C185="y")),H186,0)</f>
        <v>0</v>
      </c>
      <c r="K186" s="39">
        <f>IF(AND(J186&gt;0,C186="y"),H186,0)</f>
        <v>0</v>
      </c>
      <c r="L186" s="1034"/>
      <c r="M186" s="1091"/>
      <c r="N186" s="208"/>
      <c r="O186" s="208"/>
      <c r="P186" s="208"/>
      <c r="Q186" s="208"/>
      <c r="R186" s="208"/>
      <c r="S186" s="208"/>
      <c r="T186" s="208"/>
    </row>
    <row r="187" spans="1:20" s="251" customFormat="1" ht="25.5" customHeight="1" x14ac:dyDescent="0.3">
      <c r="A187" s="842"/>
      <c r="B187" s="884"/>
      <c r="C187" s="884"/>
      <c r="D187" s="844"/>
      <c r="E187" s="82">
        <v>16</v>
      </c>
      <c r="F187" s="1250" t="s">
        <v>701</v>
      </c>
      <c r="G187" s="1047"/>
      <c r="H187" s="218"/>
      <c r="I187" s="143"/>
      <c r="J187" s="144"/>
      <c r="K187" s="39"/>
      <c r="L187" s="1349" t="s">
        <v>60</v>
      </c>
      <c r="M187" s="1030"/>
      <c r="N187" s="208"/>
      <c r="O187" s="208"/>
      <c r="P187" s="208"/>
      <c r="Q187" s="208"/>
      <c r="R187" s="208"/>
      <c r="S187" s="208"/>
      <c r="T187" s="208"/>
    </row>
    <row r="188" spans="1:20" s="251" customFormat="1" ht="15" customHeight="1" x14ac:dyDescent="0.3">
      <c r="A188" s="322"/>
      <c r="B188" s="323"/>
      <c r="C188" s="324"/>
      <c r="D188" s="325"/>
      <c r="E188" s="48" t="s">
        <v>79</v>
      </c>
      <c r="F188" s="1063" t="s">
        <v>151</v>
      </c>
      <c r="G188" s="1040"/>
      <c r="H188" s="46">
        <v>1</v>
      </c>
      <c r="I188" s="630">
        <f>IF(AND(OR(A188="x", A188="p"),NOT(OR(B188="n", A189="x", A189="p"))),H188,0)</f>
        <v>0</v>
      </c>
      <c r="J188" s="638">
        <f>IF(AND(OR(D188="m", C188="y"),NOT(D189="m"),NOT(C189="y")),H188,0)</f>
        <v>0</v>
      </c>
      <c r="K188" s="39">
        <f>IF(AND(J188&gt;0,C188="y"),H188,0)</f>
        <v>0</v>
      </c>
      <c r="L188" s="1028"/>
      <c r="M188" s="1031"/>
      <c r="N188" s="208"/>
      <c r="O188" s="209" t="s">
        <v>148</v>
      </c>
      <c r="P188" s="208"/>
      <c r="Q188" s="208"/>
      <c r="R188" s="208"/>
      <c r="S188" s="208"/>
      <c r="T188" s="208"/>
    </row>
    <row r="189" spans="1:20" s="251" customFormat="1" ht="14.25" customHeight="1" x14ac:dyDescent="0.3">
      <c r="A189" s="326"/>
      <c r="B189" s="327"/>
      <c r="C189" s="328"/>
      <c r="D189" s="329"/>
      <c r="E189" s="117" t="s">
        <v>80</v>
      </c>
      <c r="F189" s="1375" t="s">
        <v>152</v>
      </c>
      <c r="G189" s="1024"/>
      <c r="H189" s="69">
        <v>2</v>
      </c>
      <c r="I189" s="639">
        <f>IF(AND(OR(A189="x", A189="p"),NOT(OR(B189="n", A188="x", A188="p"))),H189,0)</f>
        <v>0</v>
      </c>
      <c r="J189" s="640">
        <f>IF(AND(OR(D189="m", C189="y"),NOT(D188="m"),NOT(C188="y")),H189,0)</f>
        <v>0</v>
      </c>
      <c r="K189" s="39">
        <f>IF(AND(J189&gt;0,C189="y"),H189,0)</f>
        <v>0</v>
      </c>
      <c r="L189" s="1034"/>
      <c r="M189" s="1091"/>
      <c r="N189" s="208"/>
      <c r="O189" s="208"/>
      <c r="P189" s="208"/>
      <c r="Q189" s="208"/>
      <c r="R189" s="208"/>
      <c r="S189" s="208"/>
      <c r="T189" s="208"/>
    </row>
    <row r="190" spans="1:20" s="251" customFormat="1" ht="30.75" customHeight="1" thickBot="1" x14ac:dyDescent="0.35">
      <c r="A190" s="340"/>
      <c r="B190" s="341"/>
      <c r="C190" s="342"/>
      <c r="D190" s="343"/>
      <c r="E190" s="136">
        <v>17</v>
      </c>
      <c r="F190" s="1071" t="s">
        <v>127</v>
      </c>
      <c r="G190" s="1072"/>
      <c r="H190" s="348" t="s">
        <v>128</v>
      </c>
      <c r="I190" s="654">
        <f>IF(AND(OR(A190="x", A190="p"),NOT(B190="n"), H190&lt;=7),H190,0)</f>
        <v>0</v>
      </c>
      <c r="J190" s="655">
        <f>IF(AND(OR(D190="m", C190="y"), H190&lt;=7),H190,0)</f>
        <v>0</v>
      </c>
      <c r="K190" s="39">
        <f>IF(AND(J190&gt;0,C190="y"),H190,0)</f>
        <v>0</v>
      </c>
      <c r="L190" s="75" t="s">
        <v>153</v>
      </c>
      <c r="M190" s="915"/>
      <c r="N190" s="208"/>
      <c r="O190" s="206"/>
      <c r="P190" s="208"/>
      <c r="Q190" s="208"/>
      <c r="R190" s="208"/>
      <c r="S190" s="208"/>
      <c r="T190" s="208"/>
    </row>
    <row r="191" spans="1:20" s="251" customFormat="1" thickTop="1" thickBot="1" x14ac:dyDescent="0.35">
      <c r="A191" s="1418" t="s">
        <v>154</v>
      </c>
      <c r="B191" s="1419"/>
      <c r="C191" s="1419"/>
      <c r="D191" s="1419"/>
      <c r="E191" s="1419"/>
      <c r="F191" s="1419"/>
      <c r="G191" s="1419"/>
      <c r="H191" s="1420"/>
      <c r="I191" s="644">
        <f>SUM(I147:I190)</f>
        <v>0</v>
      </c>
      <c r="J191" s="644">
        <f>SUM(J147:J190)</f>
        <v>0</v>
      </c>
      <c r="K191" s="61">
        <f>SUM(K150:K190)</f>
        <v>0</v>
      </c>
      <c r="L191" s="76"/>
      <c r="M191" s="77"/>
      <c r="N191" s="208"/>
      <c r="O191" s="206"/>
      <c r="P191" s="206"/>
      <c r="Q191" s="206"/>
      <c r="R191" s="206"/>
      <c r="S191" s="206"/>
      <c r="T191" s="206"/>
    </row>
    <row r="192" spans="1:20" s="251" customFormat="1" ht="35.15" customHeight="1" thickTop="1" thickBot="1" x14ac:dyDescent="0.35">
      <c r="A192" s="1398" t="s">
        <v>40</v>
      </c>
      <c r="B192" s="1147"/>
      <c r="C192" s="1147"/>
      <c r="D192" s="1147"/>
      <c r="E192" s="1147"/>
      <c r="F192" s="1147"/>
      <c r="G192" s="1147"/>
      <c r="H192" s="1147"/>
      <c r="I192" s="1147"/>
      <c r="J192" s="1147"/>
      <c r="K192" s="1147"/>
      <c r="L192" s="1147"/>
      <c r="M192" s="1147"/>
      <c r="N192" s="3"/>
      <c r="O192" s="206"/>
      <c r="P192" s="206"/>
      <c r="Q192" s="206"/>
      <c r="R192" s="206"/>
      <c r="S192" s="206"/>
      <c r="T192" s="206"/>
    </row>
    <row r="193" spans="1:20" s="251" customFormat="1" ht="12.75" customHeight="1" thickBot="1" x14ac:dyDescent="0.35">
      <c r="A193" s="20"/>
      <c r="B193" s="21"/>
      <c r="C193" s="22"/>
      <c r="D193" s="78"/>
      <c r="E193" s="1343" t="s">
        <v>660</v>
      </c>
      <c r="F193" s="1117"/>
      <c r="G193" s="1118"/>
      <c r="H193" s="1226" t="s">
        <v>69</v>
      </c>
      <c r="I193" s="1133" t="s">
        <v>70</v>
      </c>
      <c r="J193" s="1134"/>
      <c r="K193" s="557"/>
      <c r="L193" s="1080" t="s">
        <v>71</v>
      </c>
      <c r="M193" s="1082" t="s">
        <v>155</v>
      </c>
      <c r="N193" s="3"/>
      <c r="O193" s="206"/>
      <c r="P193" s="206"/>
      <c r="Q193" s="206"/>
      <c r="R193" s="206"/>
      <c r="S193" s="206"/>
      <c r="T193" s="206"/>
    </row>
    <row r="194" spans="1:20" s="251" customFormat="1" ht="14.25" customHeight="1" thickBot="1" x14ac:dyDescent="0.35">
      <c r="A194" s="25" t="s">
        <v>0</v>
      </c>
      <c r="B194" s="26" t="s">
        <v>1</v>
      </c>
      <c r="C194" s="27" t="s">
        <v>73</v>
      </c>
      <c r="D194" s="79" t="s">
        <v>74</v>
      </c>
      <c r="E194" s="1344"/>
      <c r="F194" s="1120"/>
      <c r="G194" s="1121"/>
      <c r="H194" s="1401"/>
      <c r="I194" s="627" t="s">
        <v>75</v>
      </c>
      <c r="J194" s="628" t="s">
        <v>76</v>
      </c>
      <c r="K194" s="558"/>
      <c r="L194" s="1081"/>
      <c r="M194" s="1083"/>
      <c r="N194" s="3"/>
      <c r="O194" s="206"/>
      <c r="P194" s="206"/>
      <c r="Q194" s="206"/>
      <c r="R194" s="206"/>
      <c r="S194" s="206"/>
      <c r="T194" s="206"/>
    </row>
    <row r="195" spans="1:20" s="725" customFormat="1" ht="14.25" customHeight="1" thickBot="1" x14ac:dyDescent="0.35">
      <c r="A195" s="880"/>
      <c r="B195" s="881"/>
      <c r="C195" s="882"/>
      <c r="D195" s="883"/>
      <c r="E195" s="783">
        <v>1</v>
      </c>
      <c r="F195" s="753" t="s">
        <v>588</v>
      </c>
      <c r="G195" s="749"/>
      <c r="H195" s="937"/>
      <c r="I195" s="978"/>
      <c r="J195" s="979"/>
      <c r="K195" s="750"/>
      <c r="L195" s="751"/>
      <c r="M195" s="752"/>
      <c r="N195" s="3"/>
      <c r="O195" s="726"/>
      <c r="P195" s="726"/>
      <c r="Q195" s="726"/>
      <c r="R195" s="726"/>
      <c r="S195" s="726"/>
      <c r="T195" s="726"/>
    </row>
    <row r="196" spans="1:20" s="251" customFormat="1" ht="42" customHeight="1" thickBot="1" x14ac:dyDescent="0.35">
      <c r="A196" s="1402"/>
      <c r="B196" s="1395"/>
      <c r="C196" s="1397"/>
      <c r="D196" s="1404"/>
      <c r="E196" s="1722" t="s">
        <v>79</v>
      </c>
      <c r="F196" s="1345" t="s">
        <v>702</v>
      </c>
      <c r="G196" s="1346"/>
      <c r="H196" s="1372" t="s">
        <v>156</v>
      </c>
      <c r="I196" s="1373">
        <f>IF(AND(A196="p",NOT(B196="n"),NOT(F197=""),F197&lt;70),MIN(35,ROUNDDOWN(((70-F197)/2),0)),0)</f>
        <v>0</v>
      </c>
      <c r="J196" s="1399">
        <f>IF(AND(OR(C196="y",D196="m"),NOT(F197=""),F197&lt;77),MIN(38,ROUNDDOWN(((70-F197)/2),0)),0)</f>
        <v>0</v>
      </c>
      <c r="K196" s="1164">
        <f>IF(AND(OR(C196="y"),NOT(F197=""),F197&lt;77),MIN(38,ROUNDDOWN(((70-F197)/2),0)),0)</f>
        <v>0</v>
      </c>
      <c r="L196" s="1382" t="s">
        <v>157</v>
      </c>
      <c r="M196" s="1376"/>
      <c r="N196" s="206"/>
      <c r="O196" s="1021" t="s">
        <v>158</v>
      </c>
      <c r="P196" s="1022"/>
      <c r="Q196" s="1022"/>
      <c r="R196" s="1022"/>
      <c r="S196" s="1022"/>
      <c r="T196" s="208"/>
    </row>
    <row r="197" spans="1:20" s="251" customFormat="1" ht="22.5" customHeight="1" x14ac:dyDescent="0.3">
      <c r="A197" s="1403"/>
      <c r="B197" s="1396"/>
      <c r="C197" s="1396"/>
      <c r="D197" s="1405"/>
      <c r="E197" s="1723"/>
      <c r="F197" s="528"/>
      <c r="G197" s="782" t="s">
        <v>589</v>
      </c>
      <c r="H197" s="1320"/>
      <c r="I197" s="1374"/>
      <c r="J197" s="1400"/>
      <c r="K197" s="1034"/>
      <c r="L197" s="1139"/>
      <c r="M197" s="1352"/>
      <c r="N197" s="208"/>
      <c r="O197" s="208"/>
      <c r="P197" s="208"/>
      <c r="Q197" s="208"/>
      <c r="R197" s="208"/>
      <c r="S197" s="208"/>
      <c r="T197" s="208"/>
    </row>
    <row r="198" spans="1:20" s="725" customFormat="1" ht="41.5" customHeight="1" thickBot="1" x14ac:dyDescent="0.35">
      <c r="A198" s="1406"/>
      <c r="B198" s="1386"/>
      <c r="C198" s="1388"/>
      <c r="D198" s="1390"/>
      <c r="E198" s="1720" t="s">
        <v>80</v>
      </c>
      <c r="F198" s="1410" t="s">
        <v>668</v>
      </c>
      <c r="G198" s="1411"/>
      <c r="H198" s="1712" t="s">
        <v>156</v>
      </c>
      <c r="I198" s="1393">
        <f>IF(AND(A198="p",NOT(B198="n"),NOT(F199=""),F199&gt;14),MIN(35,ROUNDDOWN((0.5*F199-6.2465),0)),0)</f>
        <v>0</v>
      </c>
      <c r="J198" s="1415">
        <f>IF(AND(OR(C198="y",D198="m"),NOT(F199=""),F199&gt;14),MIN(35,ROUNDDOWN((0.5*F199-6.2465),0)),0)</f>
        <v>0</v>
      </c>
      <c r="K198" s="754"/>
      <c r="L198" s="1027" t="s">
        <v>561</v>
      </c>
      <c r="M198" s="1369"/>
      <c r="N198" s="724"/>
      <c r="O198" s="724"/>
      <c r="P198" s="724"/>
      <c r="Q198" s="724"/>
      <c r="R198" s="724"/>
      <c r="S198" s="724"/>
      <c r="T198" s="724"/>
    </row>
    <row r="199" spans="1:20" s="733" customFormat="1" ht="28.5" customHeight="1" thickBot="1" x14ac:dyDescent="0.35">
      <c r="A199" s="1407"/>
      <c r="B199" s="1387"/>
      <c r="C199" s="1389"/>
      <c r="D199" s="1391"/>
      <c r="E199" s="1721"/>
      <c r="F199" s="784"/>
      <c r="G199" s="755" t="s">
        <v>590</v>
      </c>
      <c r="H199" s="1713"/>
      <c r="I199" s="1394"/>
      <c r="J199" s="1416"/>
      <c r="K199" s="754"/>
      <c r="L199" s="1066"/>
      <c r="M199" s="1370"/>
      <c r="N199" s="735"/>
      <c r="O199" s="735"/>
      <c r="P199" s="735"/>
      <c r="Q199" s="735"/>
      <c r="R199" s="735"/>
      <c r="S199" s="735"/>
      <c r="T199" s="735"/>
    </row>
    <row r="200" spans="1:20" s="251" customFormat="1" ht="25" customHeight="1" x14ac:dyDescent="0.3">
      <c r="A200" s="332"/>
      <c r="B200" s="333"/>
      <c r="C200" s="349"/>
      <c r="D200" s="350"/>
      <c r="E200" s="81">
        <v>2</v>
      </c>
      <c r="F200" s="1417" t="s">
        <v>626</v>
      </c>
      <c r="G200" s="1346"/>
      <c r="H200" s="885"/>
      <c r="I200" s="636">
        <f>IF(AND(OR(A200="x", A200="p"),NOT(B200="n")),H200,0)</f>
        <v>0</v>
      </c>
      <c r="J200" s="748">
        <f>IF(OR(D200="m", C200="y"),H200,0)</f>
        <v>0</v>
      </c>
      <c r="K200" s="39">
        <f>IF(AND(J200&gt;0,C200="y"),H200,0)</f>
        <v>0</v>
      </c>
      <c r="L200" s="1027" t="s">
        <v>159</v>
      </c>
      <c r="M200" s="1366"/>
      <c r="N200" s="208"/>
      <c r="O200" s="1021" t="str">
        <f>HYPERLINK("https://www.energystar.gov/partner_resources/residential_new/homes_prog_reqs/national_page","ENERGY STAR New Homes Requirements")</f>
        <v>ENERGY STAR New Homes Requirements</v>
      </c>
      <c r="P200" s="1022"/>
      <c r="Q200" s="1022"/>
      <c r="R200" s="1022"/>
      <c r="S200" s="1022"/>
      <c r="T200" s="206"/>
    </row>
    <row r="201" spans="1:20" s="733" customFormat="1" ht="14" x14ac:dyDescent="0.3">
      <c r="A201" s="301"/>
      <c r="B201" s="302"/>
      <c r="C201" s="879"/>
      <c r="D201" s="310"/>
      <c r="E201" s="859" t="s">
        <v>79</v>
      </c>
      <c r="F201" s="1371" t="s">
        <v>703</v>
      </c>
      <c r="G201" s="1040"/>
      <c r="H201" s="148">
        <v>5</v>
      </c>
      <c r="I201" s="630">
        <f>IF(AND(OR(A201="x", A201="p"),NOT(OR(B201="n", A202="x", A202="p"))),H201,0)</f>
        <v>0</v>
      </c>
      <c r="J201" s="631">
        <f>IF(AND(OR(D201="m", C201="y"),NOT(D202="m"),NOT(C202="y")),H201,0)</f>
        <v>0</v>
      </c>
      <c r="K201" s="747"/>
      <c r="L201" s="1065"/>
      <c r="M201" s="1367"/>
      <c r="N201" s="735"/>
      <c r="O201" s="736"/>
      <c r="T201" s="742"/>
    </row>
    <row r="202" spans="1:20" s="725" customFormat="1" ht="24" customHeight="1" x14ac:dyDescent="0.3">
      <c r="A202" s="301"/>
      <c r="B202" s="302"/>
      <c r="C202" s="879"/>
      <c r="D202" s="310"/>
      <c r="E202" s="859" t="s">
        <v>80</v>
      </c>
      <c r="F202" s="1408" t="s">
        <v>704</v>
      </c>
      <c r="G202" s="1409"/>
      <c r="H202" s="886">
        <v>8</v>
      </c>
      <c r="I202" s="630">
        <f>IF(AND(OR(A202="x", A202="p"),NOT(OR(B202="n", A201="x", A201="p"))),H202,0)</f>
        <v>0</v>
      </c>
      <c r="J202" s="631">
        <f>IF(AND(OR(D202="m", C202="y"),NOT(D201="m"),NOT(C201="y")),H202,0)</f>
        <v>0</v>
      </c>
      <c r="K202" s="747"/>
      <c r="L202" s="1066"/>
      <c r="M202" s="1368"/>
      <c r="N202" s="724"/>
      <c r="O202" s="727"/>
      <c r="T202" s="726"/>
    </row>
    <row r="203" spans="1:20" s="251" customFormat="1" ht="25.5" customHeight="1" x14ac:dyDescent="0.3">
      <c r="A203" s="842"/>
      <c r="B203" s="884"/>
      <c r="C203" s="884"/>
      <c r="D203" s="844"/>
      <c r="E203" s="82">
        <v>3</v>
      </c>
      <c r="F203" s="1250" t="s">
        <v>160</v>
      </c>
      <c r="G203" s="1047"/>
      <c r="H203" s="218"/>
      <c r="I203" s="143"/>
      <c r="J203" s="144"/>
      <c r="K203" s="39"/>
      <c r="L203" s="1027" t="s">
        <v>60</v>
      </c>
      <c r="M203" s="1350"/>
      <c r="N203" s="206"/>
      <c r="O203" s="208"/>
      <c r="P203" s="212"/>
      <c r="Q203" s="208"/>
      <c r="R203" s="208"/>
      <c r="S203" s="208"/>
      <c r="T203" s="208"/>
    </row>
    <row r="204" spans="1:20" s="251" customFormat="1" ht="15" customHeight="1" x14ac:dyDescent="0.3">
      <c r="A204" s="322"/>
      <c r="B204" s="323"/>
      <c r="C204" s="324"/>
      <c r="D204" s="325"/>
      <c r="E204" s="48" t="s">
        <v>79</v>
      </c>
      <c r="F204" s="1063" t="s">
        <v>161</v>
      </c>
      <c r="G204" s="1040"/>
      <c r="H204" s="46">
        <v>3</v>
      </c>
      <c r="I204" s="630">
        <f>IF(AND(OR(A204="x", A204="p"),NOT(OR(B204="n", A205="x", A205="p", A206="x", A206="p"))),H204,0)</f>
        <v>0</v>
      </c>
      <c r="J204" s="638">
        <f>IF(AND(OR(D204="m", C204="y"),NOT(D205="m"),NOT(C205="y"),NOT(D206="m"),NOT(C206="y")),H204,0)</f>
        <v>0</v>
      </c>
      <c r="K204" s="39">
        <f>IF(AND(J204&gt;0,C204="y"),H204,0)</f>
        <v>0</v>
      </c>
      <c r="L204" s="1028"/>
      <c r="M204" s="1351"/>
      <c r="N204" s="208"/>
      <c r="O204" s="1021" t="s">
        <v>51</v>
      </c>
      <c r="P204" s="1022"/>
      <c r="Q204" s="1022"/>
      <c r="R204" s="1022"/>
      <c r="S204" s="208"/>
      <c r="T204" s="208"/>
    </row>
    <row r="205" spans="1:20" s="251" customFormat="1" ht="15" customHeight="1" x14ac:dyDescent="0.3">
      <c r="A205" s="293"/>
      <c r="B205" s="294"/>
      <c r="C205" s="295"/>
      <c r="D205" s="296"/>
      <c r="E205" s="48" t="s">
        <v>80</v>
      </c>
      <c r="F205" s="1063" t="s">
        <v>162</v>
      </c>
      <c r="G205" s="1040"/>
      <c r="H205" s="46">
        <v>4</v>
      </c>
      <c r="I205" s="630">
        <f>IF(AND(OR(A205="x", A205="p"),NOT(OR(B205="n", A204="x", A204="p", A206="x", A206="p"))),H205,0)</f>
        <v>0</v>
      </c>
      <c r="J205" s="638">
        <f>IF(AND(OR(D205="m", C205="y"),NOT(D206="m"),NOT(C206="y"),NOT(D204="m"),NOT(C204="y")),H205,0)</f>
        <v>0</v>
      </c>
      <c r="K205" s="39">
        <f>IF(AND(J205&gt;0,C205="y"),H205,0)</f>
        <v>0</v>
      </c>
      <c r="L205" s="1028"/>
      <c r="M205" s="1351"/>
      <c r="N205" s="208"/>
      <c r="O205" s="208"/>
      <c r="P205" s="208"/>
      <c r="Q205" s="208"/>
      <c r="R205" s="208"/>
      <c r="S205" s="208"/>
      <c r="T205" s="208"/>
    </row>
    <row r="206" spans="1:20" s="251" customFormat="1" ht="14.25" customHeight="1" thickBot="1" x14ac:dyDescent="0.35">
      <c r="A206" s="351"/>
      <c r="B206" s="352"/>
      <c r="C206" s="353"/>
      <c r="D206" s="354"/>
      <c r="E206" s="83" t="s">
        <v>82</v>
      </c>
      <c r="F206" s="1356" t="s">
        <v>163</v>
      </c>
      <c r="G206" s="1341"/>
      <c r="H206" s="220">
        <v>5</v>
      </c>
      <c r="I206" s="656">
        <f>IF(AND(OR(A206="x", A206="p"),NOT(OR(B206="n", A204="x", A204="p", A205="x", A205="p"))),H206,0)</f>
        <v>0</v>
      </c>
      <c r="J206" s="635">
        <f>IF(AND(OR(D206="m", C206="y"),NOT(D204="m"),NOT(C204="y"),NOT(D205="m"),NOT(C205="y")),H206,0)</f>
        <v>0</v>
      </c>
      <c r="K206" s="31">
        <f>IF(AND(J206&gt;0,C206="y"),H206,0)</f>
        <v>0</v>
      </c>
      <c r="L206" s="1034"/>
      <c r="M206" s="1352"/>
      <c r="N206" s="208"/>
      <c r="O206" s="208"/>
      <c r="P206" s="208"/>
      <c r="Q206" s="208"/>
      <c r="R206" s="208"/>
      <c r="S206" s="208"/>
      <c r="T206" s="208"/>
    </row>
    <row r="207" spans="1:20" s="251" customFormat="1" ht="15" customHeight="1" thickBot="1" x14ac:dyDescent="0.35">
      <c r="A207" s="84"/>
      <c r="B207" s="85"/>
      <c r="C207" s="85"/>
      <c r="D207" s="1353" t="s">
        <v>604</v>
      </c>
      <c r="E207" s="1354"/>
      <c r="F207" s="1354"/>
      <c r="G207" s="1354"/>
      <c r="H207" s="1354"/>
      <c r="I207" s="1354"/>
      <c r="J207" s="1354"/>
      <c r="K207" s="1354"/>
      <c r="L207" s="1355"/>
      <c r="M207" s="44"/>
      <c r="N207" s="208"/>
      <c r="O207" s="206"/>
      <c r="P207" s="206"/>
      <c r="Q207" s="206"/>
      <c r="R207" s="206"/>
      <c r="S207" s="206"/>
      <c r="T207" s="206"/>
    </row>
    <row r="208" spans="1:20" s="251" customFormat="1" ht="21.75" customHeight="1" x14ac:dyDescent="0.3">
      <c r="A208" s="931"/>
      <c r="B208" s="932"/>
      <c r="C208" s="932"/>
      <c r="D208" s="933"/>
      <c r="E208" s="1357" t="s">
        <v>164</v>
      </c>
      <c r="F208" s="1358"/>
      <c r="G208" s="1359"/>
      <c r="H208" s="562"/>
      <c r="I208" s="657"/>
      <c r="J208" s="658"/>
      <c r="K208" s="563"/>
      <c r="L208" s="564"/>
      <c r="M208" s="565"/>
      <c r="N208" s="206"/>
      <c r="O208" s="208"/>
      <c r="P208" s="208"/>
      <c r="Q208" s="208"/>
      <c r="R208" s="208"/>
      <c r="S208" s="208"/>
      <c r="T208" s="208"/>
    </row>
    <row r="209" spans="1:20" s="251" customFormat="1" ht="15" customHeight="1" x14ac:dyDescent="0.3">
      <c r="A209" s="934"/>
      <c r="B209" s="935"/>
      <c r="C209" s="935"/>
      <c r="D209" s="936"/>
      <c r="E209" s="86">
        <v>4</v>
      </c>
      <c r="F209" s="1339" t="s">
        <v>705</v>
      </c>
      <c r="G209" s="1038"/>
      <c r="H209" s="220"/>
      <c r="I209" s="659"/>
      <c r="J209" s="635">
        <f>IF(AND(OR(D209="m", C209="y"),NOT(D210="m"),NOT(C210="y"),NOT(D211="m"),NOT(C211="y")),H209,0)</f>
        <v>0</v>
      </c>
      <c r="K209" s="87"/>
      <c r="L209" s="1027" t="s">
        <v>62</v>
      </c>
      <c r="M209" s="1056"/>
      <c r="N209" s="208"/>
      <c r="O209" s="1021" t="s">
        <v>165</v>
      </c>
      <c r="P209" s="1022"/>
      <c r="Q209" s="1022"/>
      <c r="R209" s="1022"/>
      <c r="S209" s="1022"/>
      <c r="T209" s="208"/>
    </row>
    <row r="210" spans="1:20" s="251" customFormat="1" ht="14.25" customHeight="1" x14ac:dyDescent="0.3">
      <c r="A210" s="336"/>
      <c r="B210" s="337"/>
      <c r="C210" s="338"/>
      <c r="D210" s="339"/>
      <c r="E210" s="48" t="s">
        <v>79</v>
      </c>
      <c r="F210" s="1035" t="s">
        <v>558</v>
      </c>
      <c r="G210" s="1036"/>
      <c r="H210" s="46">
        <v>1</v>
      </c>
      <c r="I210" s="630">
        <f>IF(AND(OR(A210="x", A210="p"),NOT(OR(B210="n", A211="x", A211="p"))),H210,0)</f>
        <v>0</v>
      </c>
      <c r="J210" s="638">
        <f>IF(AND(OR(D210="m", C210="y"),NOT(D211="m"),NOT(C211="y")),H210,0)</f>
        <v>0</v>
      </c>
      <c r="K210" s="33">
        <f>IF(AND(J210&gt;0,C210="y"),H210,0)</f>
        <v>0</v>
      </c>
      <c r="L210" s="1360"/>
      <c r="M210" s="1057"/>
      <c r="N210" s="208"/>
      <c r="O210" s="1045"/>
      <c r="P210" s="1022"/>
      <c r="Q210" s="1022"/>
      <c r="R210" s="1022"/>
      <c r="S210" s="208"/>
      <c r="T210" s="208"/>
    </row>
    <row r="211" spans="1:20" s="251" customFormat="1" ht="37" customHeight="1" x14ac:dyDescent="0.3">
      <c r="A211" s="351"/>
      <c r="B211" s="352"/>
      <c r="C211" s="353"/>
      <c r="D211" s="354"/>
      <c r="E211" s="88" t="s">
        <v>80</v>
      </c>
      <c r="F211" s="1035" t="s">
        <v>556</v>
      </c>
      <c r="G211" s="1036"/>
      <c r="H211" s="46">
        <v>3</v>
      </c>
      <c r="I211" s="630">
        <f>IF(AND(OR(A211="x", A211="p"),NOT(OR(B211="n", A210="x", A210="p"))),H211,0)</f>
        <v>0</v>
      </c>
      <c r="J211" s="638">
        <f>IF(AND(OR(D211="m", C211="y"),NOT(D210="m"),NOT(C210="y")),H211,0)</f>
        <v>0</v>
      </c>
      <c r="K211" s="33">
        <f>IF(AND(J211&gt;0,C211="y"),H211,0)</f>
        <v>0</v>
      </c>
      <c r="L211" s="1360"/>
      <c r="M211" s="1057"/>
      <c r="N211" s="208"/>
      <c r="O211" s="1021" t="s">
        <v>166</v>
      </c>
      <c r="P211" s="1022"/>
      <c r="Q211" s="1022"/>
      <c r="R211" s="1022"/>
      <c r="S211" s="1022"/>
      <c r="T211" s="208"/>
    </row>
    <row r="212" spans="1:20" s="251" customFormat="1" ht="14.25" customHeight="1" x14ac:dyDescent="0.3">
      <c r="A212" s="301"/>
      <c r="B212" s="302"/>
      <c r="C212" s="303"/>
      <c r="D212" s="304"/>
      <c r="E212" s="90">
        <v>5</v>
      </c>
      <c r="F212" s="1025" t="s">
        <v>167</v>
      </c>
      <c r="G212" s="1026"/>
      <c r="H212" s="36">
        <v>2</v>
      </c>
      <c r="I212" s="40">
        <f>IF(AND(OR(A212="x", A212="p"),NOT(B212="n")),H212,0)</f>
        <v>0</v>
      </c>
      <c r="J212" s="41">
        <f>IF(OR(D212="m", C212="y"),H212,0)</f>
        <v>0</v>
      </c>
      <c r="K212" s="35">
        <f>IF(AND(J212&gt;0,C212="y"),H212,0)</f>
        <v>0</v>
      </c>
      <c r="L212" s="18" t="s">
        <v>62</v>
      </c>
      <c r="M212" s="276"/>
      <c r="N212" s="208"/>
      <c r="O212" s="208"/>
      <c r="P212" s="208"/>
      <c r="Q212" s="208"/>
      <c r="R212" s="208"/>
      <c r="S212" s="208"/>
      <c r="T212" s="208"/>
    </row>
    <row r="213" spans="1:20" s="251" customFormat="1" ht="14.25" customHeight="1" x14ac:dyDescent="0.3">
      <c r="A213" s="355"/>
      <c r="B213" s="356"/>
      <c r="C213" s="357"/>
      <c r="D213" s="358"/>
      <c r="E213" s="152">
        <v>6</v>
      </c>
      <c r="F213" s="1274" t="s">
        <v>168</v>
      </c>
      <c r="G213" s="1275"/>
      <c r="H213" s="91">
        <v>1</v>
      </c>
      <c r="I213" s="40">
        <f>IF(AND(OR(A213="x", A213="p"),NOT(B213="n")),H213,0)</f>
        <v>0</v>
      </c>
      <c r="J213" s="41">
        <f>IF(OR(D213="m", C213="y"),H213,0)</f>
        <v>0</v>
      </c>
      <c r="K213" s="87">
        <f>IF(AND(J213&gt;0,C213="y"),H213,0)</f>
        <v>0</v>
      </c>
      <c r="L213" s="80" t="s">
        <v>60</v>
      </c>
      <c r="M213" s="380"/>
      <c r="N213" s="208"/>
      <c r="O213" s="208"/>
      <c r="P213" s="208"/>
      <c r="Q213" s="208"/>
      <c r="R213" s="208"/>
      <c r="S213" s="208"/>
      <c r="T213" s="208"/>
    </row>
    <row r="214" spans="1:20" s="251" customFormat="1" ht="21.75" customHeight="1" x14ac:dyDescent="0.3">
      <c r="A214" s="928"/>
      <c r="B214" s="929"/>
      <c r="C214" s="929"/>
      <c r="D214" s="930"/>
      <c r="E214" s="1385" t="s">
        <v>169</v>
      </c>
      <c r="F214" s="1078"/>
      <c r="G214" s="1079"/>
      <c r="H214" s="566"/>
      <c r="I214" s="660"/>
      <c r="J214" s="661"/>
      <c r="K214" s="567"/>
      <c r="L214" s="568"/>
      <c r="M214" s="569"/>
      <c r="N214" s="208"/>
      <c r="O214" s="1148" t="str">
        <f>HYPERLINK("https://foundationhandbook.ornl.gov/handbook/toc.shtml","Oak Ridge/DOE Foundation Wall Handbook")</f>
        <v>Oak Ridge/DOE Foundation Wall Handbook</v>
      </c>
      <c r="P214" s="1022"/>
      <c r="Q214" s="1022"/>
      <c r="R214" s="1022"/>
      <c r="S214" s="1022"/>
      <c r="T214" s="208"/>
    </row>
    <row r="215" spans="1:20" s="251" customFormat="1" ht="14.25" customHeight="1" x14ac:dyDescent="0.3">
      <c r="A215" s="842"/>
      <c r="B215" s="884"/>
      <c r="C215" s="884"/>
      <c r="D215" s="844"/>
      <c r="E215" s="176">
        <v>7</v>
      </c>
      <c r="F215" s="1339" t="s">
        <v>470</v>
      </c>
      <c r="G215" s="1038"/>
      <c r="H215" s="220"/>
      <c r="I215" s="659"/>
      <c r="J215" s="635"/>
      <c r="K215" s="87"/>
      <c r="L215" s="1033" t="s">
        <v>60</v>
      </c>
      <c r="M215" s="1361"/>
      <c r="N215" s="208"/>
      <c r="O215" s="208"/>
      <c r="P215" s="208"/>
      <c r="Q215" s="208"/>
      <c r="R215" s="208"/>
      <c r="S215" s="208"/>
      <c r="T215" s="208"/>
    </row>
    <row r="216" spans="1:20" s="251" customFormat="1" ht="14.25" customHeight="1" x14ac:dyDescent="0.3">
      <c r="A216" s="359"/>
      <c r="B216" s="360"/>
      <c r="C216" s="361"/>
      <c r="D216" s="362"/>
      <c r="E216" s="48" t="s">
        <v>79</v>
      </c>
      <c r="F216" s="1039" t="s">
        <v>170</v>
      </c>
      <c r="G216" s="1040"/>
      <c r="H216" s="46">
        <v>2</v>
      </c>
      <c r="I216" s="630">
        <f>IF(AND(OR(A216="x", A216="p"),NOT(OR(B216="n", A217="x", A217="p"))),H216,0)</f>
        <v>0</v>
      </c>
      <c r="J216" s="638">
        <f>IF(AND(OR(D216="m", C216="y"),NOT(D217="m"),NOT(C217="y")),H216,0)</f>
        <v>0</v>
      </c>
      <c r="K216" s="33">
        <f>IF(AND(J216&gt;0,C216="y"),H216,0)</f>
        <v>0</v>
      </c>
      <c r="L216" s="1028"/>
      <c r="M216" s="1031"/>
      <c r="N216" s="208"/>
      <c r="O216" s="208"/>
      <c r="P216" s="208"/>
      <c r="Q216" s="208"/>
      <c r="R216" s="208"/>
      <c r="S216" s="208"/>
      <c r="T216" s="208"/>
    </row>
    <row r="217" spans="1:20" s="251" customFormat="1" ht="15" customHeight="1" x14ac:dyDescent="0.3">
      <c r="A217" s="326"/>
      <c r="B217" s="327"/>
      <c r="C217" s="328"/>
      <c r="D217" s="329"/>
      <c r="E217" s="88" t="s">
        <v>80</v>
      </c>
      <c r="F217" s="1035" t="s">
        <v>171</v>
      </c>
      <c r="G217" s="1036"/>
      <c r="H217" s="59">
        <v>3</v>
      </c>
      <c r="I217" s="639">
        <f>IF(AND(OR(A217="x", A217="p"),NOT(OR(B217="n", A216="x", A216="p", A215="x", A215="p"))),H217,0)</f>
        <v>0</v>
      </c>
      <c r="J217" s="640">
        <f>IF(AND(OR(D217="m", C217="y"),NOT(D215="m"),NOT(C215="y"),NOT(D216="m"),NOT(C216="y")),H217,0)</f>
        <v>0</v>
      </c>
      <c r="K217" s="33">
        <f>IF(AND(J217&gt;0,C217="y"),H217,0)</f>
        <v>0</v>
      </c>
      <c r="L217" s="1028"/>
      <c r="M217" s="1093"/>
      <c r="N217" s="208"/>
      <c r="O217" s="208"/>
      <c r="P217" s="208"/>
      <c r="Q217" s="208"/>
      <c r="R217" s="208"/>
      <c r="S217" s="208"/>
      <c r="T217" s="208"/>
    </row>
    <row r="218" spans="1:20" s="251" customFormat="1" ht="30.75" customHeight="1" x14ac:dyDescent="0.3">
      <c r="A218" s="301"/>
      <c r="B218" s="302"/>
      <c r="C218" s="303"/>
      <c r="D218" s="304"/>
      <c r="E218" s="90">
        <v>8</v>
      </c>
      <c r="F218" s="1025" t="s">
        <v>172</v>
      </c>
      <c r="G218" s="1026"/>
      <c r="H218" s="36">
        <v>1</v>
      </c>
      <c r="I218" s="40">
        <f>IF(AND(OR(A218="x", A218="p"),NOT(B218="n")),H218,0)</f>
        <v>0</v>
      </c>
      <c r="J218" s="41">
        <f>IF(OR(D218="m", C218="y"),H218,0)</f>
        <v>0</v>
      </c>
      <c r="K218" s="35">
        <f>IF(AND(J218&gt;0,C218="y"),H218,0)</f>
        <v>0</v>
      </c>
      <c r="L218" s="18" t="s">
        <v>60</v>
      </c>
      <c r="M218" s="276"/>
      <c r="N218" s="208"/>
      <c r="O218" s="208"/>
      <c r="P218" s="208"/>
      <c r="Q218" s="208"/>
      <c r="R218" s="208"/>
      <c r="S218" s="208"/>
      <c r="T218" s="208"/>
    </row>
    <row r="219" spans="1:20" s="251" customFormat="1" ht="21.75" customHeight="1" x14ac:dyDescent="0.3">
      <c r="A219" s="928"/>
      <c r="B219" s="929"/>
      <c r="C219" s="929"/>
      <c r="D219" s="929"/>
      <c r="E219" s="1347" t="s">
        <v>173</v>
      </c>
      <c r="F219" s="1078"/>
      <c r="G219" s="1079"/>
      <c r="H219" s="566"/>
      <c r="I219" s="660"/>
      <c r="J219" s="661"/>
      <c r="K219" s="567"/>
      <c r="L219" s="568"/>
      <c r="M219" s="569"/>
      <c r="N219" s="208"/>
      <c r="O219" s="209" t="s">
        <v>174</v>
      </c>
      <c r="P219" s="208"/>
      <c r="Q219" s="208"/>
      <c r="R219" s="208"/>
      <c r="S219" s="208"/>
      <c r="T219" s="208"/>
    </row>
    <row r="220" spans="1:20" s="251" customFormat="1" ht="14.25" customHeight="1" x14ac:dyDescent="0.3">
      <c r="A220" s="842"/>
      <c r="B220" s="884"/>
      <c r="C220" s="884"/>
      <c r="D220" s="844"/>
      <c r="E220" s="86">
        <v>9</v>
      </c>
      <c r="F220" s="1339" t="s">
        <v>471</v>
      </c>
      <c r="G220" s="1038"/>
      <c r="H220" s="220"/>
      <c r="I220" s="659"/>
      <c r="J220" s="635"/>
      <c r="K220" s="87"/>
      <c r="L220" s="1033" t="s">
        <v>60</v>
      </c>
      <c r="M220" s="1361"/>
      <c r="N220" s="208"/>
      <c r="O220" s="255" t="s">
        <v>175</v>
      </c>
      <c r="P220" s="212"/>
      <c r="Q220" s="212"/>
      <c r="R220" s="212"/>
      <c r="S220" s="212"/>
      <c r="T220" s="212"/>
    </row>
    <row r="221" spans="1:20" s="251" customFormat="1" ht="14.25" customHeight="1" x14ac:dyDescent="0.3">
      <c r="A221" s="359"/>
      <c r="B221" s="360"/>
      <c r="C221" s="361"/>
      <c r="D221" s="362"/>
      <c r="E221" s="92" t="s">
        <v>79</v>
      </c>
      <c r="F221" s="1039" t="s">
        <v>636</v>
      </c>
      <c r="G221" s="1040"/>
      <c r="H221" s="46">
        <v>2</v>
      </c>
      <c r="I221" s="630">
        <f>IF(AND(OR(A221="x", A221="p"),NOT(OR(B221="n", A222="x", A222="p"))),H221,0)</f>
        <v>0</v>
      </c>
      <c r="J221" s="638">
        <f>IF(AND(OR(D221="m", C221="y"),NOT(D222="m"),NOT(C222="y")),H221,0)</f>
        <v>0</v>
      </c>
      <c r="K221" s="33">
        <f>IF(AND(J221&gt;0,C221="y"),H221,0)</f>
        <v>0</v>
      </c>
      <c r="L221" s="1028"/>
      <c r="M221" s="1031"/>
      <c r="N221" s="208"/>
      <c r="O221" s="208"/>
      <c r="P221" s="208"/>
      <c r="Q221" s="208"/>
      <c r="R221" s="208"/>
      <c r="S221" s="208"/>
      <c r="T221" s="208"/>
    </row>
    <row r="222" spans="1:20" s="251" customFormat="1" ht="15" customHeight="1" x14ac:dyDescent="0.3">
      <c r="A222" s="326"/>
      <c r="B222" s="327"/>
      <c r="C222" s="328"/>
      <c r="D222" s="329"/>
      <c r="E222" s="93" t="s">
        <v>80</v>
      </c>
      <c r="F222" s="1251" t="s">
        <v>637</v>
      </c>
      <c r="G222" s="1049"/>
      <c r="H222" s="69">
        <v>3</v>
      </c>
      <c r="I222" s="639">
        <f>IF(AND(OR(A222="x", A222="p"),NOT(OR(B222="n", A221="x", A221="p", A220="x", A220="p"))),H222,0)</f>
        <v>0</v>
      </c>
      <c r="J222" s="640">
        <f>IF(AND(OR(D222="m", C222="y"),NOT(D220="m"),NOT(C220="y"),NOT(D221="m"),NOT(C221="y")),H222,0)</f>
        <v>0</v>
      </c>
      <c r="K222" s="33">
        <f>IF(AND(J222&gt;0,C222="y"),H222,0)</f>
        <v>0</v>
      </c>
      <c r="L222" s="1028"/>
      <c r="M222" s="1093"/>
      <c r="N222" s="208"/>
      <c r="O222" s="1021" t="str">
        <f>HYPERLINK("https://www1.eere.energy.gov/buildings/publications/pdfs/building_america/29238.pdf","Crawlspace Insulation DOE Factsheet")</f>
        <v>Crawlspace Insulation DOE Factsheet</v>
      </c>
      <c r="P222" s="1022"/>
      <c r="Q222" s="1022"/>
      <c r="R222" s="1022"/>
      <c r="S222" s="1022"/>
      <c r="T222" s="208"/>
    </row>
    <row r="223" spans="1:20" s="251" customFormat="1" ht="24.75" customHeight="1" x14ac:dyDescent="0.3">
      <c r="A223" s="301"/>
      <c r="B223" s="302"/>
      <c r="C223" s="303"/>
      <c r="D223" s="304"/>
      <c r="E223" s="90">
        <v>10</v>
      </c>
      <c r="F223" s="1025" t="s">
        <v>172</v>
      </c>
      <c r="G223" s="1026"/>
      <c r="H223" s="36">
        <v>1</v>
      </c>
      <c r="I223" s="40">
        <f>IF(AND(OR(A223="x", A223="p"),NOT(B223="n")),H223,0)</f>
        <v>0</v>
      </c>
      <c r="J223" s="41">
        <f>IF(OR(D223="m", C223="y"),H223,0)</f>
        <v>0</v>
      </c>
      <c r="K223" s="35">
        <f>IF(AND(J223&gt;0,C223="y"),H223,0)</f>
        <v>0</v>
      </c>
      <c r="L223" s="18" t="s">
        <v>60</v>
      </c>
      <c r="M223" s="276"/>
      <c r="N223" s="208"/>
      <c r="O223" s="208"/>
      <c r="P223" s="208"/>
      <c r="Q223" s="208"/>
      <c r="R223" s="208"/>
      <c r="S223" s="208"/>
      <c r="T223" s="208"/>
    </row>
    <row r="224" spans="1:20" s="251" customFormat="1" ht="21.75" customHeight="1" x14ac:dyDescent="0.3">
      <c r="A224" s="928"/>
      <c r="B224" s="929"/>
      <c r="C224" s="929"/>
      <c r="D224" s="930"/>
      <c r="E224" s="1077" t="s">
        <v>176</v>
      </c>
      <c r="F224" s="1078"/>
      <c r="G224" s="1079"/>
      <c r="H224" s="566"/>
      <c r="I224" s="660"/>
      <c r="J224" s="661"/>
      <c r="K224" s="567"/>
      <c r="L224" s="568"/>
      <c r="M224" s="569"/>
      <c r="N224" s="208"/>
      <c r="O224" s="257" t="str">
        <f>HYPERLINK("https://foundationhandbook.ornl.gov/handbook/toc.shtml","Oak Ridge/DOE Foundation Wall Handbook")</f>
        <v>Oak Ridge/DOE Foundation Wall Handbook</v>
      </c>
      <c r="P224" s="225"/>
      <c r="Q224" s="225"/>
      <c r="R224" s="225"/>
      <c r="S224" s="225"/>
      <c r="T224" s="225"/>
    </row>
    <row r="225" spans="1:20" s="251" customFormat="1" ht="14.25" customHeight="1" x14ac:dyDescent="0.3">
      <c r="A225" s="842"/>
      <c r="B225" s="884"/>
      <c r="C225" s="884"/>
      <c r="D225" s="844"/>
      <c r="E225" s="86">
        <v>11</v>
      </c>
      <c r="F225" s="1328" t="s">
        <v>476</v>
      </c>
      <c r="G225" s="1047"/>
      <c r="H225" s="220"/>
      <c r="I225" s="659"/>
      <c r="J225" s="635"/>
      <c r="K225" s="87"/>
      <c r="L225" s="1027" t="s">
        <v>60</v>
      </c>
      <c r="M225" s="1056"/>
      <c r="N225" s="208"/>
      <c r="O225" s="208"/>
      <c r="P225" s="208"/>
      <c r="Q225" s="208"/>
      <c r="R225" s="208"/>
      <c r="S225" s="208"/>
      <c r="T225" s="208"/>
    </row>
    <row r="226" spans="1:20" s="251" customFormat="1" ht="14.25" customHeight="1" x14ac:dyDescent="0.3">
      <c r="A226" s="336"/>
      <c r="B226" s="337"/>
      <c r="C226" s="338"/>
      <c r="D226" s="339"/>
      <c r="E226" s="48" t="s">
        <v>79</v>
      </c>
      <c r="F226" s="1063" t="s">
        <v>706</v>
      </c>
      <c r="G226" s="1040"/>
      <c r="H226" s="46">
        <v>3</v>
      </c>
      <c r="I226" s="630">
        <f>IF(AND(OR(A226="x", A226="p"),NOT(OR(B226="n", A227="x", A227="p", A228="x", A228="p"))),H226,0)</f>
        <v>0</v>
      </c>
      <c r="J226" s="638">
        <f>IF(AND(OR(D226="m", C226="y"),NOT(D227="m"),NOT(C227="y"),NOT(D228="m"),NOT(C228="y")),H226,0)</f>
        <v>0</v>
      </c>
      <c r="K226" s="35">
        <f>IF(AND(J226&gt;0,C226="y"),H226,0)</f>
        <v>0</v>
      </c>
      <c r="L226" s="1028"/>
      <c r="M226" s="1031"/>
      <c r="N226" s="208"/>
      <c r="O226" s="1021" t="s">
        <v>177</v>
      </c>
      <c r="P226" s="1022"/>
      <c r="Q226" s="1022"/>
      <c r="R226" s="1022"/>
      <c r="S226" s="1022"/>
      <c r="T226" s="208"/>
    </row>
    <row r="227" spans="1:20" s="251" customFormat="1" ht="14" x14ac:dyDescent="0.3">
      <c r="A227" s="293"/>
      <c r="B227" s="294"/>
      <c r="C227" s="295"/>
      <c r="D227" s="296"/>
      <c r="E227" s="105" t="s">
        <v>80</v>
      </c>
      <c r="F227" s="1039" t="s">
        <v>707</v>
      </c>
      <c r="G227" s="1040"/>
      <c r="H227" s="46">
        <v>4</v>
      </c>
      <c r="I227" s="630">
        <f>IF(AND(OR(A227="x", A227="p"),NOT(OR(B227="n", A226="x", A226="p", A228="x", A228="p"))),H227,0)</f>
        <v>0</v>
      </c>
      <c r="J227" s="638">
        <f>IF(AND(OR(D227="m", C227="y"),NOT(D228="m"),NOT(C228="y"),NOT(D226="m"),NOT(C226="y")),H227,0)</f>
        <v>0</v>
      </c>
      <c r="K227" s="35">
        <f>IF(AND(J227&gt;0,C227="y"),H227,0)</f>
        <v>0</v>
      </c>
      <c r="L227" s="1028"/>
      <c r="M227" s="1031"/>
      <c r="N227" s="208"/>
      <c r="O227" s="208"/>
      <c r="P227" s="208"/>
      <c r="Q227" s="208"/>
      <c r="R227" s="208"/>
      <c r="S227" s="208"/>
      <c r="T227" s="208"/>
    </row>
    <row r="228" spans="1:20" s="251" customFormat="1" ht="14.25" customHeight="1" thickBot="1" x14ac:dyDescent="0.35">
      <c r="A228" s="363"/>
      <c r="B228" s="364"/>
      <c r="C228" s="365"/>
      <c r="D228" s="366"/>
      <c r="E228" s="83" t="s">
        <v>82</v>
      </c>
      <c r="F228" s="1340" t="s">
        <v>708</v>
      </c>
      <c r="G228" s="1341"/>
      <c r="H228" s="94">
        <v>5</v>
      </c>
      <c r="I228" s="642">
        <f>IF(AND(OR(A228="x", A228="p"),NOT(OR(B228="n", A226="x", A226="p", A227="x", A227="p"))),H228,0)</f>
        <v>0</v>
      </c>
      <c r="J228" s="643">
        <f>IF(AND(OR(D228="m", C228="y"),NOT(D226="m"),NOT(C226="y"),NOT(D227="m"),NOT(C227="y")),H228,0)</f>
        <v>0</v>
      </c>
      <c r="K228" s="35">
        <f>IF(AND(J228&gt;0,C228="y"),H228,0)</f>
        <v>0</v>
      </c>
      <c r="L228" s="1029"/>
      <c r="M228" s="1032"/>
      <c r="N228" s="208"/>
      <c r="O228" s="208"/>
      <c r="P228" s="208"/>
      <c r="Q228" s="208"/>
      <c r="R228" s="208"/>
      <c r="S228" s="208"/>
      <c r="T228" s="208"/>
    </row>
    <row r="229" spans="1:20" s="430" customFormat="1" ht="14.25" customHeight="1" thickBot="1" x14ac:dyDescent="0.35">
      <c r="A229" s="447"/>
      <c r="B229" s="449"/>
      <c r="C229" s="449"/>
      <c r="D229" s="367" t="s">
        <v>709</v>
      </c>
      <c r="E229" s="95"/>
      <c r="F229" s="96"/>
      <c r="G229" s="97"/>
      <c r="H229" s="98"/>
      <c r="I229" s="662"/>
      <c r="J229" s="653"/>
      <c r="K229" s="99"/>
      <c r="L229" s="466"/>
      <c r="M229" s="462"/>
      <c r="N229" s="12"/>
      <c r="O229" s="12"/>
      <c r="P229" s="12"/>
      <c r="Q229" s="12"/>
      <c r="R229" s="12"/>
      <c r="S229" s="12"/>
      <c r="T229" s="12"/>
    </row>
    <row r="230" spans="1:20" s="251" customFormat="1" ht="23.25" customHeight="1" x14ac:dyDescent="0.3">
      <c r="A230" s="928"/>
      <c r="B230" s="929"/>
      <c r="C230" s="929"/>
      <c r="D230" s="930"/>
      <c r="E230" s="1077" t="s">
        <v>178</v>
      </c>
      <c r="F230" s="1078"/>
      <c r="G230" s="1342"/>
      <c r="H230" s="570"/>
      <c r="I230" s="663"/>
      <c r="J230" s="664"/>
      <c r="K230" s="571"/>
      <c r="L230" s="572"/>
      <c r="M230" s="573"/>
      <c r="N230" s="208"/>
      <c r="O230" s="208"/>
      <c r="P230" s="208"/>
      <c r="Q230" s="208"/>
      <c r="R230" s="208"/>
      <c r="S230" s="208"/>
      <c r="T230" s="208"/>
    </row>
    <row r="231" spans="1:20" s="251" customFormat="1" ht="14.25" customHeight="1" x14ac:dyDescent="0.3">
      <c r="A231" s="842"/>
      <c r="B231" s="884"/>
      <c r="C231" s="884"/>
      <c r="D231" s="844"/>
      <c r="E231" s="86">
        <v>12</v>
      </c>
      <c r="F231" s="1046" t="s">
        <v>179</v>
      </c>
      <c r="G231" s="1047"/>
      <c r="H231" s="220"/>
      <c r="I231" s="659"/>
      <c r="J231" s="635"/>
      <c r="K231" s="87"/>
      <c r="L231" s="1033" t="s">
        <v>60</v>
      </c>
      <c r="M231" s="1363"/>
      <c r="N231" s="208"/>
      <c r="O231" s="208"/>
      <c r="P231" s="208"/>
      <c r="Q231" s="208"/>
      <c r="R231" s="208"/>
      <c r="S231" s="208"/>
      <c r="T231" s="208"/>
    </row>
    <row r="232" spans="1:20" s="251" customFormat="1" ht="14.25" customHeight="1" x14ac:dyDescent="0.3">
      <c r="A232" s="336"/>
      <c r="B232" s="337"/>
      <c r="C232" s="338"/>
      <c r="D232" s="339"/>
      <c r="E232" s="48" t="s">
        <v>79</v>
      </c>
      <c r="F232" s="1063" t="s">
        <v>180</v>
      </c>
      <c r="G232" s="1040"/>
      <c r="H232" s="46">
        <v>2</v>
      </c>
      <c r="I232" s="630">
        <f>IF(AND(OR(A232="x", A232="p"),NOT(OR(B232="n", A233="x", A233="p"))),H232,0)</f>
        <v>0</v>
      </c>
      <c r="J232" s="638">
        <f>IF(AND(OR(D232="m", C232="y"),NOT(D233="m"),NOT(C233="y")),H232,0)</f>
        <v>0</v>
      </c>
      <c r="K232" s="87">
        <f t="shared" ref="K232:K240" si="11">IF(AND(J232&gt;0,C232="y"),H232,0)</f>
        <v>0</v>
      </c>
      <c r="L232" s="1028"/>
      <c r="M232" s="1351"/>
      <c r="N232" s="208"/>
      <c r="O232" s="1021" t="str">
        <f>HYPERLINK("https://www.greenbuilt.org/wp-content/uploads/2017/08/WallInsulation.pdf","Insulation Factsheet")</f>
        <v>Insulation Factsheet</v>
      </c>
      <c r="P232" s="1022"/>
      <c r="Q232" s="1022"/>
      <c r="R232" s="1022"/>
      <c r="S232" s="208"/>
      <c r="T232" s="208"/>
    </row>
    <row r="233" spans="1:20" s="251" customFormat="1" ht="15" customHeight="1" x14ac:dyDescent="0.3">
      <c r="A233" s="305"/>
      <c r="B233" s="306"/>
      <c r="C233" s="307"/>
      <c r="D233" s="308"/>
      <c r="E233" s="105" t="s">
        <v>80</v>
      </c>
      <c r="F233" s="1035" t="s">
        <v>181</v>
      </c>
      <c r="G233" s="1036"/>
      <c r="H233" s="59">
        <v>3</v>
      </c>
      <c r="I233" s="639">
        <f>IF(AND(OR(A233="x", A233="p"),NOT(OR(B233="n", A232="x", A232="p"))),H233,0)</f>
        <v>0</v>
      </c>
      <c r="J233" s="640">
        <f>IF(AND(OR(D233="m", C233="y"),NOT(D232="m"),NOT(C232="y")),H233,0)</f>
        <v>0</v>
      </c>
      <c r="K233" s="33">
        <f t="shared" si="11"/>
        <v>0</v>
      </c>
      <c r="L233" s="1028"/>
      <c r="M233" s="1364"/>
      <c r="N233" s="208"/>
      <c r="O233" s="1021" t="str">
        <f>HYPERLINK("https://www.greenbuilt.org/wp-content/uploads/2017/08/Insulation-1.pdf","Advanced Energy's Insulation Tech Tips")</f>
        <v>Advanced Energy's Insulation Tech Tips</v>
      </c>
      <c r="P233" s="1022"/>
      <c r="Q233" s="1022"/>
      <c r="R233" s="1022"/>
      <c r="S233" s="1022"/>
      <c r="T233" s="208"/>
    </row>
    <row r="234" spans="1:20" s="251" customFormat="1" ht="14.25" customHeight="1" x14ac:dyDescent="0.3">
      <c r="A234" s="301"/>
      <c r="B234" s="302"/>
      <c r="C234" s="368"/>
      <c r="D234" s="304"/>
      <c r="E234" s="100">
        <v>13</v>
      </c>
      <c r="F234" s="1246" t="s">
        <v>710</v>
      </c>
      <c r="G234" s="1026"/>
      <c r="H234" s="946">
        <v>4</v>
      </c>
      <c r="I234" s="40">
        <f>IF(AND(OR(A234="x", A234="p"),NOT(B234="n")),H234,0)</f>
        <v>0</v>
      </c>
      <c r="J234" s="41">
        <f>IF(OR(D234="m", C234="y"),H234,0)</f>
        <v>0</v>
      </c>
      <c r="K234" s="39">
        <f t="shared" si="11"/>
        <v>0</v>
      </c>
      <c r="L234" s="18" t="s">
        <v>60</v>
      </c>
      <c r="M234" s="916"/>
      <c r="N234" s="208"/>
      <c r="O234" s="208"/>
      <c r="P234" s="208"/>
      <c r="Q234" s="208"/>
      <c r="R234" s="208"/>
      <c r="S234" s="208"/>
      <c r="T234" s="208"/>
    </row>
    <row r="235" spans="1:20" s="251" customFormat="1" ht="15" customHeight="1" x14ac:dyDescent="0.3">
      <c r="A235" s="369"/>
      <c r="B235" s="370"/>
      <c r="C235" s="371"/>
      <c r="D235" s="372"/>
      <c r="E235" s="248">
        <v>14</v>
      </c>
      <c r="F235" s="1046" t="s">
        <v>475</v>
      </c>
      <c r="G235" s="1047"/>
      <c r="H235" s="218"/>
      <c r="I235" s="143"/>
      <c r="J235" s="144"/>
      <c r="K235" s="39">
        <f t="shared" si="11"/>
        <v>0</v>
      </c>
      <c r="L235" s="1027" t="s">
        <v>62</v>
      </c>
      <c r="M235" s="1030"/>
      <c r="N235" s="208"/>
      <c r="O235" s="1045"/>
      <c r="P235" s="1022"/>
      <c r="Q235" s="1022"/>
      <c r="R235" s="1022"/>
      <c r="S235" s="208"/>
      <c r="T235" s="208"/>
    </row>
    <row r="236" spans="1:20" s="251" customFormat="1" ht="15" customHeight="1" x14ac:dyDescent="0.3">
      <c r="A236" s="293"/>
      <c r="B236" s="294"/>
      <c r="C236" s="295"/>
      <c r="D236" s="296"/>
      <c r="E236" s="49" t="s">
        <v>79</v>
      </c>
      <c r="F236" s="1348" t="s">
        <v>182</v>
      </c>
      <c r="G236" s="1141"/>
      <c r="H236" s="46">
        <v>1</v>
      </c>
      <c r="I236" s="665">
        <f>IF(AND(OR(A236="x", A236="p"),NOT(OR(B237="n", A237="x", A237="p"))),H236,0)</f>
        <v>0</v>
      </c>
      <c r="J236" s="631">
        <f>IF(AND(OR(D236="m", C236="y"),NOT(D237="m"),NOT(C237="y")),H236,0)</f>
        <v>0</v>
      </c>
      <c r="K236" s="39">
        <f t="shared" si="11"/>
        <v>0</v>
      </c>
      <c r="L236" s="1028"/>
      <c r="M236" s="1057"/>
      <c r="N236" s="208"/>
      <c r="O236" s="1021" t="s">
        <v>183</v>
      </c>
      <c r="P236" s="1022"/>
      <c r="Q236" s="1022"/>
      <c r="R236" s="1022"/>
      <c r="S236" s="208"/>
      <c r="T236" s="208"/>
    </row>
    <row r="237" spans="1:20" s="251" customFormat="1" ht="14" x14ac:dyDescent="0.3">
      <c r="A237" s="373"/>
      <c r="B237" s="374"/>
      <c r="C237" s="375"/>
      <c r="D237" s="376"/>
      <c r="E237" s="101" t="s">
        <v>80</v>
      </c>
      <c r="F237" s="1362" t="s">
        <v>184</v>
      </c>
      <c r="G237" s="1275"/>
      <c r="H237" s="91">
        <v>2</v>
      </c>
      <c r="I237" s="642">
        <f>IF(AND(OR(A237="x", A237="p"),NOT(OR(B236="n", A236="x", A236="p"))),H237,0)</f>
        <v>0</v>
      </c>
      <c r="J237" s="666">
        <f>IF(AND(OR(D237="m", C237="y"),NOT(D236="m"),NOT(C236="y")),H237,0)</f>
        <v>0</v>
      </c>
      <c r="K237" s="39">
        <f t="shared" si="11"/>
        <v>0</v>
      </c>
      <c r="L237" s="1034"/>
      <c r="M237" s="1058"/>
      <c r="N237" s="208"/>
      <c r="O237" s="1045"/>
      <c r="P237" s="1022"/>
      <c r="Q237" s="1022"/>
      <c r="R237" s="1022"/>
      <c r="S237" s="208"/>
      <c r="T237" s="208"/>
    </row>
    <row r="238" spans="1:20" s="251" customFormat="1" ht="15" customHeight="1" x14ac:dyDescent="0.3">
      <c r="A238" s="301"/>
      <c r="B238" s="302"/>
      <c r="C238" s="303"/>
      <c r="D238" s="304"/>
      <c r="E238" s="100">
        <v>15</v>
      </c>
      <c r="F238" s="1246" t="s">
        <v>185</v>
      </c>
      <c r="G238" s="1026"/>
      <c r="H238" s="36">
        <v>1</v>
      </c>
      <c r="I238" s="40">
        <f>IF(AND(OR(A238="x", A238="p"),NOT(B238="n")),H238,0)</f>
        <v>0</v>
      </c>
      <c r="J238" s="41">
        <f>IF(OR(D238="m", C238="y"),H238,0)</f>
        <v>0</v>
      </c>
      <c r="K238" s="39">
        <f t="shared" si="11"/>
        <v>0</v>
      </c>
      <c r="L238" s="18" t="s">
        <v>60</v>
      </c>
      <c r="M238" s="381"/>
      <c r="N238" s="208"/>
      <c r="O238" s="1021" t="s">
        <v>186</v>
      </c>
      <c r="P238" s="1022"/>
      <c r="Q238" s="1022"/>
      <c r="R238" s="1022"/>
      <c r="S238" s="1022"/>
      <c r="T238" s="208"/>
    </row>
    <row r="239" spans="1:20" s="251" customFormat="1" ht="15" customHeight="1" x14ac:dyDescent="0.3">
      <c r="A239" s="301"/>
      <c r="B239" s="302"/>
      <c r="C239" s="368"/>
      <c r="D239" s="304"/>
      <c r="E239" s="100">
        <v>16</v>
      </c>
      <c r="F239" s="1073" t="s">
        <v>187</v>
      </c>
      <c r="G239" s="1026"/>
      <c r="H239" s="36">
        <v>1</v>
      </c>
      <c r="I239" s="40">
        <f>IF(AND(OR(A239="x", A239="p"),NOT(B239="n")),H239,0)</f>
        <v>0</v>
      </c>
      <c r="J239" s="41">
        <f>IF(OR(D239="m", C239="y"),H239,0)</f>
        <v>0</v>
      </c>
      <c r="K239" s="39">
        <f t="shared" si="11"/>
        <v>0</v>
      </c>
      <c r="L239" s="18" t="s">
        <v>60</v>
      </c>
      <c r="M239" s="381"/>
      <c r="N239" s="208"/>
      <c r="O239" s="208"/>
      <c r="P239" s="208"/>
      <c r="Q239" s="208"/>
      <c r="R239" s="208"/>
      <c r="S239" s="208"/>
      <c r="T239" s="208"/>
    </row>
    <row r="240" spans="1:20" s="251" customFormat="1" ht="14.25" customHeight="1" x14ac:dyDescent="0.3">
      <c r="A240" s="301"/>
      <c r="B240" s="302"/>
      <c r="C240" s="368"/>
      <c r="D240" s="304"/>
      <c r="E240" s="100">
        <v>17</v>
      </c>
      <c r="F240" s="1246" t="s">
        <v>188</v>
      </c>
      <c r="G240" s="1026"/>
      <c r="H240" s="36">
        <v>2</v>
      </c>
      <c r="I240" s="40">
        <f>IF(AND(OR(A240="x", A240="p"),NOT(B240="n")),H240,0)</f>
        <v>0</v>
      </c>
      <c r="J240" s="41">
        <f>IF(OR(D240="m", C240="y"),H240,0)</f>
        <v>0</v>
      </c>
      <c r="K240" s="39">
        <f t="shared" si="11"/>
        <v>0</v>
      </c>
      <c r="L240" s="18" t="s">
        <v>60</v>
      </c>
      <c r="M240" s="381"/>
      <c r="N240" s="208"/>
      <c r="O240" s="208"/>
      <c r="P240" s="208"/>
      <c r="Q240" s="208"/>
      <c r="R240" s="208"/>
      <c r="S240" s="208"/>
      <c r="T240" s="208"/>
    </row>
    <row r="241" spans="1:20" s="795" customFormat="1" ht="25.5" customHeight="1" x14ac:dyDescent="0.3">
      <c r="A241" s="924"/>
      <c r="B241" s="925"/>
      <c r="C241" s="926"/>
      <c r="D241" s="927"/>
      <c r="E241" s="1051" t="s">
        <v>638</v>
      </c>
      <c r="F241" s="1052"/>
      <c r="G241" s="1053"/>
      <c r="H241" s="918"/>
      <c r="I241" s="919"/>
      <c r="J241" s="920"/>
      <c r="K241" s="921"/>
      <c r="L241" s="922"/>
      <c r="M241" s="923"/>
      <c r="N241" s="794"/>
      <c r="O241" s="794"/>
      <c r="P241" s="794"/>
      <c r="Q241" s="794"/>
      <c r="R241" s="794"/>
      <c r="S241" s="794"/>
      <c r="T241" s="794"/>
    </row>
    <row r="242" spans="1:20" s="795" customFormat="1" ht="14.25" customHeight="1" x14ac:dyDescent="0.3">
      <c r="A242" s="301"/>
      <c r="B242" s="302"/>
      <c r="C242" s="368"/>
      <c r="D242" s="304"/>
      <c r="E242" s="90">
        <v>18</v>
      </c>
      <c r="F242" s="1054" t="s">
        <v>639</v>
      </c>
      <c r="G242" s="1740"/>
      <c r="H242" s="1739"/>
      <c r="I242" s="40"/>
      <c r="J242" s="41"/>
      <c r="K242" s="747"/>
      <c r="L242" s="18"/>
      <c r="M242" s="917"/>
      <c r="N242" s="794"/>
      <c r="O242" s="794"/>
      <c r="P242" s="794"/>
      <c r="Q242" s="794"/>
      <c r="R242" s="794"/>
      <c r="S242" s="794"/>
      <c r="T242" s="794"/>
    </row>
    <row r="243" spans="1:20" s="795" customFormat="1" ht="27" customHeight="1" x14ac:dyDescent="0.3">
      <c r="A243" s="301"/>
      <c r="B243" s="302"/>
      <c r="C243" s="368"/>
      <c r="D243" s="304"/>
      <c r="E243" s="1014" t="s">
        <v>79</v>
      </c>
      <c r="F243" s="1059" t="s">
        <v>644</v>
      </c>
      <c r="G243" s="1060"/>
      <c r="H243" s="103">
        <v>2</v>
      </c>
      <c r="I243" s="40">
        <f>IF(AND(OR(A243="x", A243="p"),NOT(OR(B243="n", A244="x", A244="p", A245="x", A245="p",A246="x",A246="p"))),H243,0)</f>
        <v>0</v>
      </c>
      <c r="J243" s="41">
        <f>IF(AND(OR(D243="m", C243="y"),NOT(D244="m"),NOT(C244="y"),NOT(D245="m"),NOT(C245="y"),NOT(C246="y"),NOT(D246="m")),H243,0)</f>
        <v>0</v>
      </c>
      <c r="K243" s="747"/>
      <c r="L243" s="18"/>
      <c r="M243" s="917"/>
      <c r="N243" s="794"/>
      <c r="O243" s="794"/>
      <c r="P243" s="794"/>
      <c r="Q243" s="794"/>
      <c r="R243" s="794"/>
      <c r="S243" s="794"/>
      <c r="T243" s="794"/>
    </row>
    <row r="244" spans="1:20" s="795" customFormat="1" ht="18.5" customHeight="1" x14ac:dyDescent="0.3">
      <c r="A244" s="301"/>
      <c r="B244" s="302"/>
      <c r="C244" s="368"/>
      <c r="D244" s="304"/>
      <c r="E244" s="1014" t="s">
        <v>80</v>
      </c>
      <c r="F244" s="1063" t="s">
        <v>641</v>
      </c>
      <c r="G244" s="1064"/>
      <c r="H244" s="46">
        <v>2</v>
      </c>
      <c r="I244" s="40">
        <f>IF(AND(OR(A244="x", A244="p"),NOT(OR(B244="n", A245="x", A245="p", A246="x", A246="p",A243="x",A243="p"))),H244,0)</f>
        <v>0</v>
      </c>
      <c r="J244" s="41">
        <f>IF(AND(OR(D244="m", C244="y"),NOT(D245="m"),NOT(C245="y"),NOT(D246="m"),NOT(C246="y"),NOT(C243="y"),NOT(D243="m")),H244,0)</f>
        <v>0</v>
      </c>
      <c r="K244" s="747"/>
      <c r="L244" s="18"/>
      <c r="M244" s="917"/>
      <c r="N244" s="794"/>
      <c r="O244" s="794"/>
      <c r="P244" s="794"/>
      <c r="Q244" s="794"/>
      <c r="R244" s="794"/>
      <c r="S244" s="794"/>
      <c r="T244" s="794"/>
    </row>
    <row r="245" spans="1:20" s="795" customFormat="1" ht="17.5" customHeight="1" x14ac:dyDescent="0.3">
      <c r="A245" s="301"/>
      <c r="B245" s="302"/>
      <c r="C245" s="368"/>
      <c r="D245" s="304"/>
      <c r="E245" s="1014" t="s">
        <v>82</v>
      </c>
      <c r="F245" s="1063" t="s">
        <v>642</v>
      </c>
      <c r="G245" s="1064"/>
      <c r="H245" s="46">
        <v>4</v>
      </c>
      <c r="I245" s="40">
        <f>IF(AND(OR(A245="x", A245="p"),NOT(OR(B245="n", A246="x", A246="p", A243="x", A243="p",A244="x",A244="p"))),H245,0)</f>
        <v>0</v>
      </c>
      <c r="J245" s="41">
        <f>IF(AND(OR(D245="m", C245="y"),NOT(D246="m"),NOT(C246="y"),NOT(D243="m"),NOT(C243="y"),NOT(C244="y"),NOT(D244="m")),H245,0)</f>
        <v>0</v>
      </c>
      <c r="K245" s="747"/>
      <c r="L245" s="18"/>
      <c r="M245" s="917"/>
      <c r="N245" s="794"/>
      <c r="O245" s="794"/>
      <c r="P245" s="794"/>
      <c r="Q245" s="794"/>
      <c r="R245" s="794"/>
      <c r="S245" s="794"/>
      <c r="T245" s="794"/>
    </row>
    <row r="246" spans="1:20" s="795" customFormat="1" ht="21.5" customHeight="1" x14ac:dyDescent="0.3">
      <c r="A246" s="301"/>
      <c r="B246" s="302"/>
      <c r="C246" s="368"/>
      <c r="D246" s="304"/>
      <c r="E246" s="1014" t="s">
        <v>83</v>
      </c>
      <c r="F246" s="1061" t="s">
        <v>643</v>
      </c>
      <c r="G246" s="1062"/>
      <c r="H246" s="69">
        <v>4</v>
      </c>
      <c r="I246" s="40">
        <f>IF(AND(OR(A246="x", A246="p"),NOT(OR(B246="n", A244="x", A244="p", A243="x", A243="p",A245="x",A245="p"))),H246,0)</f>
        <v>0</v>
      </c>
      <c r="J246" s="41">
        <f>IF(AND(OR(D246="m", C246="y"),NOT(D243="m"),NOT(C243="y"),NOT(D244="m"),NOT(C244="y"),NOT(C245="y"),NOT(D245="m")),H246,0)</f>
        <v>0</v>
      </c>
      <c r="K246" s="747"/>
      <c r="L246" s="18"/>
      <c r="M246" s="917"/>
      <c r="N246" s="794"/>
      <c r="O246" s="794"/>
      <c r="P246" s="794"/>
      <c r="Q246" s="794"/>
      <c r="R246" s="794"/>
      <c r="S246" s="794"/>
      <c r="T246" s="794"/>
    </row>
    <row r="247" spans="1:20" s="251" customFormat="1" ht="22.5" customHeight="1" x14ac:dyDescent="0.3">
      <c r="A247" s="928"/>
      <c r="B247" s="929"/>
      <c r="C247" s="929"/>
      <c r="D247" s="930"/>
      <c r="E247" s="1077" t="s">
        <v>640</v>
      </c>
      <c r="F247" s="1078"/>
      <c r="G247" s="1342"/>
      <c r="H247" s="570"/>
      <c r="I247" s="663"/>
      <c r="J247" s="664"/>
      <c r="K247" s="571"/>
      <c r="L247" s="572"/>
      <c r="M247" s="573"/>
      <c r="N247" s="208"/>
      <c r="O247" s="208"/>
      <c r="P247" s="208"/>
      <c r="Q247" s="208"/>
      <c r="R247" s="208"/>
      <c r="S247" s="208"/>
      <c r="T247" s="208"/>
    </row>
    <row r="248" spans="1:20" s="251" customFormat="1" ht="14.25" customHeight="1" x14ac:dyDescent="0.3">
      <c r="A248" s="842"/>
      <c r="B248" s="884"/>
      <c r="C248" s="884"/>
      <c r="D248" s="844"/>
      <c r="E248" s="86">
        <v>19</v>
      </c>
      <c r="F248" s="1046" t="s">
        <v>189</v>
      </c>
      <c r="G248" s="1047"/>
      <c r="H248" s="220"/>
      <c r="I248" s="659"/>
      <c r="J248" s="635"/>
      <c r="K248" s="87"/>
      <c r="L248" s="1033" t="s">
        <v>60</v>
      </c>
      <c r="M248" s="1361"/>
      <c r="N248" s="208"/>
      <c r="O248" s="208"/>
      <c r="P248" s="208"/>
      <c r="Q248" s="208"/>
      <c r="R248" s="208"/>
      <c r="S248" s="208"/>
      <c r="T248" s="208"/>
    </row>
    <row r="249" spans="1:20" s="251" customFormat="1" ht="14.25" customHeight="1" x14ac:dyDescent="0.3">
      <c r="A249" s="336"/>
      <c r="B249" s="337"/>
      <c r="C249" s="338"/>
      <c r="D249" s="339"/>
      <c r="E249" s="48" t="s">
        <v>79</v>
      </c>
      <c r="F249" s="1039" t="s">
        <v>190</v>
      </c>
      <c r="G249" s="1040"/>
      <c r="H249" s="46">
        <v>4</v>
      </c>
      <c r="I249" s="630">
        <f>IF(AND(OR(A249="x", A249="p"),NOT(OR(B249="n", A250="x", A250="p", A251="x", A251="p"))),H249,0)</f>
        <v>0</v>
      </c>
      <c r="J249" s="638">
        <f>IF(AND(OR(D249="m", C249="y"),NOT(D250="m"),NOT(C250="y"),NOT(D251="m"),NOT(C251="y")),H249,0)</f>
        <v>0</v>
      </c>
      <c r="K249" s="87">
        <f>IF(AND(J249&gt;0,C249="y"),H249,0)</f>
        <v>0</v>
      </c>
      <c r="L249" s="1028"/>
      <c r="M249" s="1031"/>
      <c r="N249" s="208"/>
      <c r="O249" s="208"/>
      <c r="P249" s="208"/>
      <c r="Q249" s="208"/>
      <c r="R249" s="208"/>
      <c r="S249" s="208"/>
      <c r="T249" s="208"/>
    </row>
    <row r="250" spans="1:20" s="251" customFormat="1" ht="15" customHeight="1" x14ac:dyDescent="0.3">
      <c r="A250" s="305"/>
      <c r="B250" s="306"/>
      <c r="C250" s="307"/>
      <c r="D250" s="308"/>
      <c r="E250" s="105" t="s">
        <v>80</v>
      </c>
      <c r="F250" s="1035" t="s">
        <v>191</v>
      </c>
      <c r="G250" s="1036"/>
      <c r="H250" s="59">
        <v>7</v>
      </c>
      <c r="I250" s="639">
        <f>IF(AND(OR(A250="x", A250="p"),NOT(OR(B250="n", A249="x", A249="p", A248="x", A248="p"))),H250,0)</f>
        <v>0</v>
      </c>
      <c r="J250" s="640">
        <f>IF(AND(OR(D250="m", C250="y"),NOT(D248="m"),NOT(C248="y"),NOT(D249="m"),NOT(C249="y")),H250,0)</f>
        <v>0</v>
      </c>
      <c r="K250" s="33">
        <f>IF(AND(J250&gt;0,C250="y"),H250,0)</f>
        <v>0</v>
      </c>
      <c r="L250" s="1028"/>
      <c r="M250" s="1093"/>
      <c r="N250" s="208"/>
      <c r="O250" s="208"/>
      <c r="P250" s="208"/>
      <c r="Q250" s="208"/>
      <c r="R250" s="208"/>
      <c r="S250" s="208"/>
      <c r="T250" s="208"/>
    </row>
    <row r="251" spans="1:20" s="251" customFormat="1" ht="15" customHeight="1" thickBot="1" x14ac:dyDescent="0.35">
      <c r="A251" s="336"/>
      <c r="B251" s="337"/>
      <c r="C251" s="338"/>
      <c r="D251" s="339"/>
      <c r="E251" s="102">
        <v>20</v>
      </c>
      <c r="F251" s="1365" t="s">
        <v>192</v>
      </c>
      <c r="G251" s="1260"/>
      <c r="H251" s="103">
        <v>5</v>
      </c>
      <c r="I251" s="667">
        <f>IF(AND(OR(A251="x", A251="p"),NOT(B251="n")),H251,0)</f>
        <v>0</v>
      </c>
      <c r="J251" s="668">
        <f>IF(OR(D251="m", C251="y"),H251,0)</f>
        <v>0</v>
      </c>
      <c r="K251" s="70">
        <f>IF(AND(J251&gt;0,C251="y"),H251,0)</f>
        <v>0</v>
      </c>
      <c r="L251" s="104"/>
      <c r="M251" s="382"/>
      <c r="N251" s="208"/>
      <c r="O251" s="206"/>
      <c r="P251" s="206"/>
      <c r="Q251" s="206"/>
      <c r="R251" s="206"/>
      <c r="S251" s="206"/>
      <c r="T251" s="206"/>
    </row>
    <row r="252" spans="1:20" s="430" customFormat="1" ht="15" customHeight="1" thickBot="1" x14ac:dyDescent="0.35">
      <c r="A252" s="447"/>
      <c r="B252" s="449"/>
      <c r="C252" s="449"/>
      <c r="D252" s="367" t="s">
        <v>193</v>
      </c>
      <c r="E252" s="95"/>
      <c r="F252" s="96"/>
      <c r="G252" s="97"/>
      <c r="H252" s="98"/>
      <c r="I252" s="662"/>
      <c r="J252" s="653"/>
      <c r="K252" s="99"/>
      <c r="L252" s="466"/>
      <c r="M252" s="462"/>
      <c r="N252" s="8"/>
      <c r="O252" s="12"/>
      <c r="P252" s="12"/>
      <c r="Q252" s="12"/>
      <c r="R252" s="12"/>
      <c r="S252" s="12"/>
      <c r="T252" s="12"/>
    </row>
    <row r="253" spans="1:20" s="251" customFormat="1" ht="14.25" customHeight="1" x14ac:dyDescent="0.3">
      <c r="A253" s="842"/>
      <c r="B253" s="884"/>
      <c r="C253" s="884"/>
      <c r="D253" s="844"/>
      <c r="E253" s="86">
        <v>21</v>
      </c>
      <c r="F253" s="1046" t="s">
        <v>465</v>
      </c>
      <c r="G253" s="1047"/>
      <c r="H253" s="220"/>
      <c r="I253" s="659"/>
      <c r="J253" s="635"/>
      <c r="K253" s="87"/>
      <c r="L253" s="1033" t="s">
        <v>60</v>
      </c>
      <c r="M253" s="1363"/>
      <c r="N253" s="208"/>
      <c r="O253" s="1021" t="s">
        <v>194</v>
      </c>
      <c r="P253" s="1022"/>
      <c r="Q253" s="1022"/>
      <c r="R253" s="1022"/>
      <c r="S253" s="208"/>
      <c r="T253" s="208"/>
    </row>
    <row r="254" spans="1:20" s="251" customFormat="1" ht="15" customHeight="1" x14ac:dyDescent="0.3">
      <c r="A254" s="336"/>
      <c r="B254" s="337"/>
      <c r="C254" s="338"/>
      <c r="D254" s="339"/>
      <c r="E254" s="48" t="s">
        <v>79</v>
      </c>
      <c r="F254" s="1039" t="s">
        <v>195</v>
      </c>
      <c r="G254" s="1040"/>
      <c r="H254" s="46">
        <v>2</v>
      </c>
      <c r="I254" s="630">
        <f>IF(AND(OR(A254="x", A254="p"),NOT(OR(B254="n", A255="x", A255="p", A257="x", A257="p"))),H254,0)</f>
        <v>0</v>
      </c>
      <c r="J254" s="638">
        <f>IF(AND(OR(D254="m", C254="y"),NOT(D255="m"),NOT(C255="y"),NOT(D257="m"),NOT(C257="y")),H254,0)</f>
        <v>0</v>
      </c>
      <c r="K254" s="87">
        <f>IF(AND(J254&gt;0,C254="y"),H254,0)</f>
        <v>0</v>
      </c>
      <c r="L254" s="1028"/>
      <c r="M254" s="1351"/>
      <c r="N254" s="208"/>
      <c r="O254" s="209" t="s">
        <v>196</v>
      </c>
      <c r="P254" s="208"/>
      <c r="Q254" s="208"/>
      <c r="R254" s="208"/>
      <c r="S254" s="208"/>
      <c r="T254" s="208"/>
    </row>
    <row r="255" spans="1:20" s="251" customFormat="1" ht="14.25" customHeight="1" x14ac:dyDescent="0.3">
      <c r="A255" s="351"/>
      <c r="B255" s="352"/>
      <c r="C255" s="353"/>
      <c r="D255" s="354"/>
      <c r="E255" s="105" t="s">
        <v>80</v>
      </c>
      <c r="F255" s="1035" t="s">
        <v>197</v>
      </c>
      <c r="G255" s="1036"/>
      <c r="H255" s="46">
        <v>1</v>
      </c>
      <c r="I255" s="630">
        <f>IF(AND(OR(A255="x", A255="p"),NOT(OR(B255="n", A256="x", A256="p", A257="x", A257="p"))),H255,0)</f>
        <v>0</v>
      </c>
      <c r="J255" s="638">
        <f>IF(AND(OR(D255="m", C255="y"),NOT(D253="m"),NOT(C253="y"),NOT(D254="m"),NOT(C254="y")),H255,0)</f>
        <v>0</v>
      </c>
      <c r="K255" s="33">
        <f>IF(AND(J255&gt;0,C255="y"),H255,0)</f>
        <v>0</v>
      </c>
      <c r="L255" s="1028"/>
      <c r="M255" s="1351"/>
      <c r="N255" s="208"/>
      <c r="O255" s="209" t="s">
        <v>198</v>
      </c>
      <c r="P255" s="208"/>
      <c r="Q255" s="208"/>
      <c r="R255" s="208"/>
      <c r="S255" s="208"/>
      <c r="T255" s="208"/>
    </row>
    <row r="256" spans="1:20" s="251" customFormat="1" ht="28.5" customHeight="1" x14ac:dyDescent="0.3">
      <c r="A256" s="351"/>
      <c r="B256" s="352"/>
      <c r="C256" s="353"/>
      <c r="D256" s="354"/>
      <c r="E256" s="105" t="s">
        <v>82</v>
      </c>
      <c r="F256" s="1061" t="s">
        <v>679</v>
      </c>
      <c r="G256" s="1024"/>
      <c r="H256" s="59">
        <v>1</v>
      </c>
      <c r="I256" s="656">
        <f>IF(AND(OR(A256="x", A256="p"),NOT(OR(B256="n", A255="x", A255="p", A254="x", A254="p"))),H256,0)</f>
        <v>0</v>
      </c>
      <c r="J256" s="669">
        <f>IF(AND(OR(D256="m", C256="y"),NOT(D254="m"),NOT(C254="y"),NOT(D255="m"),NOT(C255="y")),H256,0)</f>
        <v>0</v>
      </c>
      <c r="K256" s="33">
        <f>IF(AND(J256&gt;0,C256="y"),H256,0)</f>
        <v>0</v>
      </c>
      <c r="L256" s="1028"/>
      <c r="M256" s="1364"/>
      <c r="N256" s="208"/>
      <c r="O256" s="208"/>
      <c r="P256" s="208"/>
      <c r="Q256" s="208"/>
      <c r="R256" s="208"/>
      <c r="S256" s="208"/>
      <c r="T256" s="208"/>
    </row>
    <row r="257" spans="1:20" s="251" customFormat="1" ht="14.25" customHeight="1" x14ac:dyDescent="0.3">
      <c r="A257" s="842"/>
      <c r="B257" s="884"/>
      <c r="C257" s="884"/>
      <c r="D257" s="844"/>
      <c r="E257" s="86">
        <v>22</v>
      </c>
      <c r="F257" s="1046" t="s">
        <v>466</v>
      </c>
      <c r="G257" s="1047"/>
      <c r="H257" s="218"/>
      <c r="I257" s="143"/>
      <c r="J257" s="652"/>
      <c r="K257" s="35"/>
      <c r="L257" s="1027" t="s">
        <v>60</v>
      </c>
      <c r="M257" s="1056"/>
      <c r="N257" s="208"/>
      <c r="O257" s="209" t="str">
        <f>HYPERLINK("https://web.ornl.gov/sci/buildings/docs/factSheets/attic%20floors.pdf","Ceiling and Vented Attic Insulation Fact Sheet")</f>
        <v>Ceiling and Vented Attic Insulation Fact Sheet</v>
      </c>
      <c r="P257" s="208"/>
      <c r="Q257" s="208"/>
      <c r="R257" s="208"/>
      <c r="S257" s="208"/>
      <c r="T257" s="208"/>
    </row>
    <row r="258" spans="1:20" s="251" customFormat="1" ht="14.25" customHeight="1" x14ac:dyDescent="0.3">
      <c r="A258" s="369"/>
      <c r="B258" s="370"/>
      <c r="C258" s="371"/>
      <c r="D258" s="372"/>
      <c r="E258" s="48" t="s">
        <v>79</v>
      </c>
      <c r="F258" s="1039" t="s">
        <v>559</v>
      </c>
      <c r="G258" s="1040"/>
      <c r="H258" s="46">
        <v>2</v>
      </c>
      <c r="I258" s="630">
        <f>IF(AND(OR(A258="x", A258="p"),NOT(OR(B258="n", A259="x", A259="p", A260="x", A260="p"))),H258,0)</f>
        <v>0</v>
      </c>
      <c r="J258" s="638">
        <f>IF(AND(OR(D258="m", C258="y"),NOT(D259="m"),NOT(C259="y"),NOT(D260="m"),NOT(C260="y")),H258,0)</f>
        <v>0</v>
      </c>
      <c r="K258" s="35">
        <f>IF(AND(J258&gt;0,C258="y"),H258,0)</f>
        <v>0</v>
      </c>
      <c r="L258" s="1028"/>
      <c r="M258" s="1031"/>
      <c r="N258" s="208"/>
      <c r="O258" s="1074"/>
      <c r="P258" s="1022"/>
      <c r="Q258" s="1022"/>
      <c r="R258" s="1022"/>
      <c r="S258" s="208"/>
      <c r="T258" s="208"/>
    </row>
    <row r="259" spans="1:20" s="251" customFormat="1" ht="14.25" customHeight="1" x14ac:dyDescent="0.3">
      <c r="A259" s="293"/>
      <c r="B259" s="294"/>
      <c r="C259" s="295"/>
      <c r="D259" s="296"/>
      <c r="E259" s="48" t="s">
        <v>80</v>
      </c>
      <c r="F259" s="1035" t="s">
        <v>560</v>
      </c>
      <c r="G259" s="1036"/>
      <c r="H259" s="46">
        <v>2</v>
      </c>
      <c r="I259" s="630">
        <f>IF(AND(OR(A259="x", A259="p"),NOT(OR(B259="n", A258="x", A258="p", A260="x", A260="p"))),H259,0)</f>
        <v>0</v>
      </c>
      <c r="J259" s="638">
        <f>IF(AND(OR(D259="m", C259="y"),NOT(D260="m"),NOT(C260="y"),NOT(D258="m"),NOT(C258="y")),H259,0)</f>
        <v>0</v>
      </c>
      <c r="K259" s="35">
        <f>IF(AND(J259&gt;0,C259="y"),H259,0)</f>
        <v>0</v>
      </c>
      <c r="L259" s="1028"/>
      <c r="M259" s="1031"/>
      <c r="N259" s="208"/>
      <c r="O259" s="1045"/>
      <c r="P259" s="1022"/>
      <c r="Q259" s="1022"/>
      <c r="R259" s="208"/>
      <c r="S259" s="208"/>
      <c r="T259" s="208"/>
    </row>
    <row r="260" spans="1:20" s="251" customFormat="1" ht="14.25" customHeight="1" x14ac:dyDescent="0.3">
      <c r="A260" s="293"/>
      <c r="B260" s="294"/>
      <c r="C260" s="295"/>
      <c r="D260" s="296"/>
      <c r="E260" s="117" t="s">
        <v>82</v>
      </c>
      <c r="F260" s="1023" t="s">
        <v>711</v>
      </c>
      <c r="G260" s="1024"/>
      <c r="H260" s="69">
        <v>2</v>
      </c>
      <c r="I260" s="642">
        <f>IF(AND(OR(A260="x", A260="p"),NOT(OR(B260="n", A258="x", A258="p", A259="x", A259="p"))),H260,0)</f>
        <v>0</v>
      </c>
      <c r="J260" s="643">
        <f>IF(AND(OR(D260="m", C260="y"),NOT(D258="m"),NOT(C258="y"),NOT(D259="m"),NOT(C259="y")),H260,0)</f>
        <v>0</v>
      </c>
      <c r="K260" s="35">
        <f>IF(AND(J260&gt;0,C260="y"),H260,0)</f>
        <v>0</v>
      </c>
      <c r="L260" s="1034"/>
      <c r="M260" s="1091"/>
      <c r="N260" s="208"/>
      <c r="O260" s="208"/>
      <c r="P260" s="208"/>
      <c r="Q260" s="208"/>
      <c r="R260" s="208"/>
      <c r="S260" s="208"/>
      <c r="T260" s="208"/>
    </row>
    <row r="261" spans="1:20" s="251" customFormat="1" ht="24.75" customHeight="1" thickBot="1" x14ac:dyDescent="0.35">
      <c r="A261" s="301"/>
      <c r="B261" s="302"/>
      <c r="C261" s="303"/>
      <c r="D261" s="304"/>
      <c r="E261" s="106">
        <v>23</v>
      </c>
      <c r="F261" s="1025" t="s">
        <v>199</v>
      </c>
      <c r="G261" s="1026"/>
      <c r="H261" s="36">
        <v>1</v>
      </c>
      <c r="I261" s="40">
        <f>IF(AND(OR(A261="x", A261="p"),NOT(B261="n")),H261,0)</f>
        <v>0</v>
      </c>
      <c r="J261" s="41">
        <f>IF(OR(D261="m", C261="y"),H261,0)</f>
        <v>0</v>
      </c>
      <c r="K261" s="39">
        <f>IF(AND(J261&gt;0,C261="y"),H261,0)</f>
        <v>0</v>
      </c>
      <c r="L261" s="18" t="s">
        <v>200</v>
      </c>
      <c r="M261" s="277"/>
      <c r="N261" s="208"/>
      <c r="O261" s="1069" t="s">
        <v>201</v>
      </c>
      <c r="P261" s="1022"/>
      <c r="Q261" s="1022"/>
      <c r="R261" s="1022"/>
      <c r="S261" s="1022"/>
      <c r="T261" s="206"/>
    </row>
    <row r="262" spans="1:20" s="430" customFormat="1" ht="14.25" customHeight="1" thickBot="1" x14ac:dyDescent="0.35">
      <c r="A262" s="447"/>
      <c r="B262" s="449"/>
      <c r="C262" s="449"/>
      <c r="D262" s="367" t="s">
        <v>202</v>
      </c>
      <c r="E262" s="95"/>
      <c r="F262" s="96"/>
      <c r="G262" s="97"/>
      <c r="H262" s="98"/>
      <c r="I262" s="662"/>
      <c r="J262" s="653"/>
      <c r="K262" s="99"/>
      <c r="L262" s="466"/>
      <c r="M262" s="462"/>
      <c r="N262" s="12"/>
      <c r="O262" s="12"/>
      <c r="P262" s="12"/>
      <c r="Q262" s="12"/>
      <c r="R262" s="12"/>
      <c r="S262" s="12"/>
      <c r="T262" s="12"/>
    </row>
    <row r="263" spans="1:20" s="251" customFormat="1" ht="14.25" customHeight="1" x14ac:dyDescent="0.3">
      <c r="A263" s="959"/>
      <c r="B263" s="960"/>
      <c r="C263" s="960"/>
      <c r="D263" s="960"/>
      <c r="E263" s="107">
        <v>23</v>
      </c>
      <c r="F263" s="1714" t="s">
        <v>472</v>
      </c>
      <c r="G263" s="1255"/>
      <c r="H263" s="108"/>
      <c r="I263" s="670"/>
      <c r="J263" s="671"/>
      <c r="K263" s="109"/>
      <c r="L263" s="216"/>
      <c r="M263" s="1196"/>
      <c r="N263" s="208"/>
      <c r="O263" s="1021" t="s">
        <v>203</v>
      </c>
      <c r="P263" s="1022"/>
      <c r="Q263" s="1022"/>
      <c r="R263" s="1022"/>
      <c r="S263" s="208"/>
      <c r="T263" s="208"/>
    </row>
    <row r="264" spans="1:20" s="251" customFormat="1" ht="14.25" customHeight="1" x14ac:dyDescent="0.3">
      <c r="A264" s="322"/>
      <c r="B264" s="323"/>
      <c r="C264" s="377"/>
      <c r="D264" s="377"/>
      <c r="E264" s="110" t="s">
        <v>79</v>
      </c>
      <c r="F264" s="1039" t="s">
        <v>204</v>
      </c>
      <c r="G264" s="1040"/>
      <c r="H264" s="52">
        <v>1</v>
      </c>
      <c r="I264" s="630">
        <f>IF(AND(OR(A264="x", A264="p"),NOT(OR(B264="n", A265="x", A265="p", A266="x", A266="p"))),H264,0)</f>
        <v>0</v>
      </c>
      <c r="J264" s="638">
        <f>IF(AND(OR(D264="m", C264="y"),NOT(D265="m"),NOT(C265="y"),NOT(D266="m"),NOT(C266="y")),H264,0)</f>
        <v>0</v>
      </c>
      <c r="K264" s="35">
        <f>IF(AND(J264&gt;0,C264="y"),H264,0)</f>
        <v>0</v>
      </c>
      <c r="L264" s="1033" t="s">
        <v>60</v>
      </c>
      <c r="M264" s="1031"/>
      <c r="N264" s="208"/>
      <c r="O264" s="208"/>
      <c r="P264" s="208"/>
      <c r="Q264" s="208"/>
      <c r="R264" s="208"/>
      <c r="S264" s="208"/>
      <c r="T264" s="208"/>
    </row>
    <row r="265" spans="1:20" s="251" customFormat="1" ht="14.25" customHeight="1" x14ac:dyDescent="0.3">
      <c r="A265" s="293"/>
      <c r="B265" s="294"/>
      <c r="C265" s="378"/>
      <c r="D265" s="378"/>
      <c r="E265" s="111" t="s">
        <v>80</v>
      </c>
      <c r="F265" s="1035" t="s">
        <v>513</v>
      </c>
      <c r="G265" s="1036"/>
      <c r="H265" s="52">
        <v>2</v>
      </c>
      <c r="I265" s="630">
        <f>IF(AND(OR(A265="x", A265="p"),NOT(OR(B265="n", A264="x", A264="p", A266="x", A266="p"))),H265,0)</f>
        <v>0</v>
      </c>
      <c r="J265" s="638">
        <f>IF(AND(OR(D265="m", C265="y"),NOT(D266="m"),NOT(C266="y"),NOT(D264="m"),NOT(C264="y")),H265,0)</f>
        <v>0</v>
      </c>
      <c r="K265" s="35">
        <f>IF(AND(J265&gt;0,C265="y"),H265,0)</f>
        <v>0</v>
      </c>
      <c r="L265" s="1028"/>
      <c r="M265" s="1031"/>
      <c r="N265" s="208"/>
      <c r="O265" s="208"/>
      <c r="P265" s="208"/>
      <c r="Q265" s="208"/>
      <c r="R265" s="208"/>
      <c r="S265" s="208"/>
      <c r="T265" s="208"/>
    </row>
    <row r="266" spans="1:20" s="251" customFormat="1" ht="14.25" customHeight="1" x14ac:dyDescent="0.3">
      <c r="A266" s="326"/>
      <c r="B266" s="327"/>
      <c r="C266" s="379"/>
      <c r="D266" s="379"/>
      <c r="E266" s="111" t="s">
        <v>82</v>
      </c>
      <c r="F266" s="1035" t="s">
        <v>205</v>
      </c>
      <c r="G266" s="1036"/>
      <c r="H266" s="112">
        <v>3</v>
      </c>
      <c r="I266" s="642">
        <f>IF(AND(OR(A266="x", A266="p"),NOT(OR(B266="n", A264="x", A264="p", A265="x", A265="p"))),H266,0)</f>
        <v>0</v>
      </c>
      <c r="J266" s="643">
        <f>IF(AND(OR(D266="m", C266="y"),NOT(D264="m"),NOT(C264="y"),NOT(D265="m"),NOT(C265="y")),H266,0)</f>
        <v>0</v>
      </c>
      <c r="K266" s="35">
        <f>IF(AND(J266&gt;0,C266="y"),H266,0)</f>
        <v>0</v>
      </c>
      <c r="L266" s="1034"/>
      <c r="M266" s="1091"/>
      <c r="N266" s="208"/>
      <c r="O266" s="208"/>
      <c r="P266" s="208"/>
      <c r="Q266" s="208"/>
      <c r="R266" s="208"/>
      <c r="S266" s="208"/>
      <c r="T266" s="208"/>
    </row>
    <row r="267" spans="1:20" s="251" customFormat="1" ht="15" customHeight="1" x14ac:dyDescent="0.3">
      <c r="A267" s="842"/>
      <c r="B267" s="884"/>
      <c r="C267" s="884"/>
      <c r="D267" s="844"/>
      <c r="E267" s="113">
        <v>24</v>
      </c>
      <c r="F267" s="1037" t="s">
        <v>473</v>
      </c>
      <c r="G267" s="1038"/>
      <c r="H267" s="51"/>
      <c r="I267" s="672"/>
      <c r="J267" s="671"/>
      <c r="K267" s="211"/>
      <c r="L267" s="207"/>
      <c r="M267" s="1030"/>
      <c r="N267" s="208"/>
      <c r="O267" s="255" t="s">
        <v>206</v>
      </c>
      <c r="P267" s="212"/>
      <c r="Q267" s="212"/>
      <c r="R267" s="212"/>
      <c r="S267" s="212"/>
      <c r="T267" s="212"/>
    </row>
    <row r="268" spans="1:20" s="251" customFormat="1" ht="14.25" customHeight="1" x14ac:dyDescent="0.3">
      <c r="A268" s="359"/>
      <c r="B268" s="360"/>
      <c r="C268" s="361"/>
      <c r="D268" s="362"/>
      <c r="E268" s="48" t="s">
        <v>79</v>
      </c>
      <c r="F268" s="1039" t="s">
        <v>205</v>
      </c>
      <c r="G268" s="1040"/>
      <c r="H268" s="52">
        <v>2</v>
      </c>
      <c r="I268" s="630">
        <f>IF(AND(OR(A268="x", A268="p"),NOT(OR(B268="n", A269="x", A269="p", A270="x", A270="p"))),H268,0)</f>
        <v>0</v>
      </c>
      <c r="J268" s="638">
        <f>IF(AND(OR(D268="m", C268="y"),NOT(D269="m"),NOT(C269="y"),NOT(D270="m"),NOT(C270="y")),H268,0)</f>
        <v>0</v>
      </c>
      <c r="K268" s="87">
        <f>IF(AND(J268&gt;0,C268="y"),H268,0)</f>
        <v>0</v>
      </c>
      <c r="L268" s="1033" t="s">
        <v>60</v>
      </c>
      <c r="M268" s="1031"/>
      <c r="N268" s="208"/>
      <c r="O268" s="208"/>
      <c r="P268" s="208"/>
      <c r="Q268" s="208"/>
      <c r="R268" s="208"/>
      <c r="S268" s="208"/>
      <c r="T268" s="208"/>
    </row>
    <row r="269" spans="1:20" s="251" customFormat="1" ht="15" customHeight="1" x14ac:dyDescent="0.3">
      <c r="A269" s="305"/>
      <c r="B269" s="306"/>
      <c r="C269" s="307"/>
      <c r="D269" s="308"/>
      <c r="E269" s="105" t="s">
        <v>80</v>
      </c>
      <c r="F269" s="1035" t="s">
        <v>207</v>
      </c>
      <c r="G269" s="1036"/>
      <c r="H269" s="114">
        <v>3</v>
      </c>
      <c r="I269" s="639">
        <f>IF(AND(OR(A269="x", A269="p"),NOT(OR(B269="n", A268="x", A268="p", A267="x", A267="p"))),H269,0)</f>
        <v>0</v>
      </c>
      <c r="J269" s="640">
        <f>IF(AND(OR(D269="m", C269="y"),NOT(D267="m"),NOT(C267="y"),NOT(D268="m"),NOT(C268="y")),H269,0)</f>
        <v>0</v>
      </c>
      <c r="K269" s="33">
        <f>IF(AND(J269&gt;0,C269="y"),H269,0)</f>
        <v>0</v>
      </c>
      <c r="L269" s="1028"/>
      <c r="M269" s="1091"/>
      <c r="N269" s="208"/>
      <c r="O269" s="208"/>
      <c r="P269" s="208"/>
      <c r="Q269" s="208"/>
      <c r="R269" s="208"/>
      <c r="S269" s="208"/>
      <c r="T269" s="208"/>
    </row>
    <row r="270" spans="1:20" s="251" customFormat="1" ht="30" customHeight="1" x14ac:dyDescent="0.3">
      <c r="A270" s="301"/>
      <c r="B270" s="302"/>
      <c r="C270" s="303"/>
      <c r="D270" s="304"/>
      <c r="E270" s="106">
        <v>25</v>
      </c>
      <c r="F270" s="1025" t="s">
        <v>645</v>
      </c>
      <c r="G270" s="1044"/>
      <c r="H270" s="51">
        <v>2</v>
      </c>
      <c r="I270" s="40">
        <f>IF(AND(OR(A270="x", A270="p"),NOT(B270="n")),H270,0)</f>
        <v>0</v>
      </c>
      <c r="J270" s="41">
        <f>IF(OR(D270="m", C270="y"),H270,0)</f>
        <v>0</v>
      </c>
      <c r="K270" s="39">
        <f>IF(AND(J270&gt;0,C270="y"),H270,0)</f>
        <v>0</v>
      </c>
      <c r="L270" s="18" t="s">
        <v>60</v>
      </c>
      <c r="M270" s="277"/>
      <c r="N270" s="208"/>
      <c r="O270" s="208"/>
      <c r="P270" s="208"/>
      <c r="Q270" s="208"/>
      <c r="R270" s="208"/>
      <c r="S270" s="208"/>
      <c r="T270" s="208"/>
    </row>
    <row r="271" spans="1:20" s="251" customFormat="1" ht="18" customHeight="1" x14ac:dyDescent="0.3">
      <c r="A271" s="928"/>
      <c r="B271" s="929"/>
      <c r="C271" s="929"/>
      <c r="D271" s="930"/>
      <c r="E271" s="115">
        <v>26</v>
      </c>
      <c r="F271" s="1037" t="s">
        <v>474</v>
      </c>
      <c r="G271" s="1038"/>
      <c r="H271" s="218"/>
      <c r="I271" s="670"/>
      <c r="J271" s="144"/>
      <c r="K271" s="116"/>
      <c r="L271" s="1160" t="s">
        <v>532</v>
      </c>
      <c r="M271" s="1421"/>
      <c r="N271" s="208"/>
      <c r="O271" s="208"/>
      <c r="P271" s="208"/>
      <c r="Q271" s="208"/>
      <c r="R271" s="208"/>
      <c r="S271" s="208"/>
      <c r="T271" s="208"/>
    </row>
    <row r="272" spans="1:20" s="251" customFormat="1" ht="14.25" customHeight="1" x14ac:dyDescent="0.3">
      <c r="A272" s="336"/>
      <c r="B272" s="337"/>
      <c r="C272" s="338"/>
      <c r="D272" s="339"/>
      <c r="E272" s="48" t="s">
        <v>79</v>
      </c>
      <c r="F272" s="1035" t="s">
        <v>444</v>
      </c>
      <c r="G272" s="1036"/>
      <c r="H272" s="46">
        <v>1</v>
      </c>
      <c r="I272" s="630">
        <f>IF(AND(OR(A272="x", A272="p"),NOT(B272="n")),H272,0)</f>
        <v>0</v>
      </c>
      <c r="J272" s="631">
        <f>IF(OR(D272="m", C272="y"),H272,0)</f>
        <v>0</v>
      </c>
      <c r="K272" s="87">
        <f>IF(AND(J272&gt;0,C272="y"),H272,0)</f>
        <v>0</v>
      </c>
      <c r="L272" s="1161"/>
      <c r="M272" s="1101"/>
      <c r="N272" s="208"/>
      <c r="O272" s="208"/>
      <c r="P272" s="208"/>
      <c r="Q272" s="208"/>
      <c r="R272" s="208"/>
      <c r="S272" s="208"/>
      <c r="T272" s="208"/>
    </row>
    <row r="273" spans="1:20" s="251" customFormat="1" ht="14.25" customHeight="1" x14ac:dyDescent="0.3">
      <c r="A273" s="289"/>
      <c r="B273" s="290"/>
      <c r="C273" s="291"/>
      <c r="D273" s="292"/>
      <c r="E273" s="105" t="s">
        <v>80</v>
      </c>
      <c r="F273" s="1428" t="s">
        <v>445</v>
      </c>
      <c r="G273" s="1036"/>
      <c r="H273" s="59">
        <v>2</v>
      </c>
      <c r="I273" s="630">
        <f>IF(AND(OR(A273="x", A273="p"),NOT(B273="n")),H273,0)</f>
        <v>0</v>
      </c>
      <c r="J273" s="631">
        <f>IF(OR(D273="m", C273="y"),H273,0)</f>
        <v>0</v>
      </c>
      <c r="K273" s="87">
        <f>IF(AND(J273&gt;0,C273="y"),H273,0)</f>
        <v>0</v>
      </c>
      <c r="L273" s="1161"/>
      <c r="M273" s="1101"/>
      <c r="N273" s="208"/>
      <c r="O273" s="208"/>
      <c r="P273" s="208"/>
      <c r="Q273" s="208"/>
      <c r="R273" s="208"/>
      <c r="S273" s="208"/>
      <c r="T273" s="208"/>
    </row>
    <row r="274" spans="1:20" s="251" customFormat="1" ht="14.25" customHeight="1" x14ac:dyDescent="0.3">
      <c r="A274" s="326"/>
      <c r="B274" s="327"/>
      <c r="C274" s="328"/>
      <c r="D274" s="329"/>
      <c r="E274" s="117" t="s">
        <v>82</v>
      </c>
      <c r="F274" s="1061" t="s">
        <v>446</v>
      </c>
      <c r="G274" s="1024"/>
      <c r="H274" s="69">
        <v>1</v>
      </c>
      <c r="I274" s="642">
        <f>IF(AND(OR(A274="x", A274="p"),NOT(B274="n")),H274,0)</f>
        <v>0</v>
      </c>
      <c r="J274" s="666">
        <f>IF(OR(D274="m", C274="y"),H274,0)</f>
        <v>0</v>
      </c>
      <c r="K274" s="87">
        <f>IF(AND(J274&gt;0,C274="y"),H274,0)</f>
        <v>0</v>
      </c>
      <c r="L274" s="1162"/>
      <c r="M274" s="1309"/>
      <c r="N274" s="208"/>
      <c r="O274" s="208"/>
      <c r="P274" s="208"/>
      <c r="Q274" s="208"/>
      <c r="R274" s="208"/>
      <c r="S274" s="208"/>
      <c r="T274" s="208"/>
    </row>
    <row r="275" spans="1:20" s="251" customFormat="1" ht="33" customHeight="1" x14ac:dyDescent="0.3">
      <c r="A275" s="301"/>
      <c r="B275" s="302"/>
      <c r="C275" s="303"/>
      <c r="D275" s="304"/>
      <c r="E275" s="106">
        <v>28</v>
      </c>
      <c r="F275" s="1025" t="s">
        <v>208</v>
      </c>
      <c r="G275" s="1026"/>
      <c r="H275" s="36">
        <v>1</v>
      </c>
      <c r="I275" s="40">
        <f>IF(AND(OR(A275="x", A275="p"),NOT(B275="n")),H275,0)</f>
        <v>0</v>
      </c>
      <c r="J275" s="41">
        <f>IF(OR(D275="m", C275="y"),H275,0)</f>
        <v>0</v>
      </c>
      <c r="K275" s="39">
        <f>IF(AND(J275&gt;0,C275="y"),H275,0)</f>
        <v>0</v>
      </c>
      <c r="L275" s="18" t="s">
        <v>60</v>
      </c>
      <c r="M275" s="277"/>
      <c r="N275" s="208"/>
      <c r="O275" s="208"/>
      <c r="P275" s="208"/>
      <c r="Q275" s="208"/>
      <c r="R275" s="208"/>
      <c r="S275" s="208"/>
      <c r="T275" s="208"/>
    </row>
    <row r="276" spans="1:20" s="251" customFormat="1" ht="30.75" customHeight="1" thickBot="1" x14ac:dyDescent="0.35">
      <c r="A276" s="340"/>
      <c r="B276" s="341"/>
      <c r="C276" s="342"/>
      <c r="D276" s="343"/>
      <c r="E276" s="136">
        <v>29</v>
      </c>
      <c r="F276" s="1071" t="s">
        <v>127</v>
      </c>
      <c r="G276" s="1072"/>
      <c r="H276" s="348" t="s">
        <v>128</v>
      </c>
      <c r="I276" s="654">
        <f>IF(AND(OR(A276="x", A276="p"),NOT(B276="n"), H276&lt;=7),H276,0)</f>
        <v>0</v>
      </c>
      <c r="J276" s="655">
        <f>IF(AND(OR(D276="m", C276="y"), H276&lt;=7),H276,0)</f>
        <v>0</v>
      </c>
      <c r="K276" s="39">
        <f>IF(AND(J276&gt;0,C276="y"),H276,0)</f>
        <v>0</v>
      </c>
      <c r="L276" s="75" t="s">
        <v>153</v>
      </c>
      <c r="M276" s="345"/>
      <c r="N276" s="208"/>
      <c r="O276" s="206"/>
      <c r="P276" s="206"/>
      <c r="Q276" s="206"/>
      <c r="R276" s="206"/>
      <c r="S276" s="206"/>
      <c r="T276" s="206"/>
    </row>
    <row r="277" spans="1:20" s="251" customFormat="1" ht="14.25" customHeight="1" thickTop="1" thickBot="1" x14ac:dyDescent="0.35">
      <c r="A277" s="1041" t="s">
        <v>646</v>
      </c>
      <c r="B277" s="1042"/>
      <c r="C277" s="1042"/>
      <c r="D277" s="1042"/>
      <c r="E277" s="1042"/>
      <c r="F277" s="1042"/>
      <c r="G277" s="1042"/>
      <c r="H277" s="1043"/>
      <c r="I277" s="644">
        <f>SUM(I196:I276)</f>
        <v>0</v>
      </c>
      <c r="J277" s="644">
        <f>SUM(J196:J276)</f>
        <v>0</v>
      </c>
      <c r="K277" s="61">
        <f>SUM(K196:K276)</f>
        <v>0</v>
      </c>
      <c r="L277" s="118"/>
      <c r="M277" s="119"/>
      <c r="N277" s="206"/>
      <c r="O277" s="206"/>
      <c r="P277" s="206"/>
      <c r="Q277" s="206"/>
      <c r="R277" s="206"/>
      <c r="S277" s="206"/>
      <c r="T277" s="206"/>
    </row>
    <row r="278" spans="1:20" s="425" customFormat="1" ht="35.15" customHeight="1" thickTop="1" thickBot="1" x14ac:dyDescent="0.35">
      <c r="A278" s="1194" t="s">
        <v>40</v>
      </c>
      <c r="B278" s="1195"/>
      <c r="C278" s="1195"/>
      <c r="D278" s="1195"/>
      <c r="E278" s="1195"/>
      <c r="F278" s="1195"/>
      <c r="G278" s="1195"/>
      <c r="H278" s="1195"/>
      <c r="I278" s="1195"/>
      <c r="J278" s="1195"/>
      <c r="K278" s="1195"/>
      <c r="L278" s="1195"/>
      <c r="M278" s="1195"/>
      <c r="N278" s="424"/>
      <c r="O278" s="282"/>
      <c r="P278" s="282"/>
      <c r="Q278" s="282"/>
      <c r="R278" s="282"/>
      <c r="S278" s="282"/>
      <c r="T278" s="282"/>
    </row>
    <row r="279" spans="1:20" s="251" customFormat="1" ht="14.25" customHeight="1" thickBot="1" x14ac:dyDescent="0.35">
      <c r="A279" s="20"/>
      <c r="B279" s="21"/>
      <c r="C279" s="22"/>
      <c r="D279" s="23"/>
      <c r="E279" s="1423" t="s">
        <v>480</v>
      </c>
      <c r="F279" s="1117"/>
      <c r="G279" s="1118"/>
      <c r="H279" s="1280" t="s">
        <v>69</v>
      </c>
      <c r="I279" s="1133" t="s">
        <v>70</v>
      </c>
      <c r="J279" s="1134"/>
      <c r="K279" s="557"/>
      <c r="L279" s="1080" t="s">
        <v>71</v>
      </c>
      <c r="M279" s="1082" t="s">
        <v>155</v>
      </c>
      <c r="N279" s="3"/>
      <c r="O279" s="206"/>
      <c r="P279" s="206"/>
      <c r="Q279" s="206"/>
      <c r="R279" s="206"/>
      <c r="S279" s="206"/>
      <c r="T279" s="206"/>
    </row>
    <row r="280" spans="1:20" s="251" customFormat="1" ht="12.75" customHeight="1" thickBot="1" x14ac:dyDescent="0.35">
      <c r="A280" s="25" t="s">
        <v>0</v>
      </c>
      <c r="B280" s="26" t="s">
        <v>1</v>
      </c>
      <c r="C280" s="27" t="s">
        <v>73</v>
      </c>
      <c r="D280" s="28" t="s">
        <v>74</v>
      </c>
      <c r="E280" s="1119"/>
      <c r="F280" s="1120"/>
      <c r="G280" s="1121"/>
      <c r="H280" s="1281"/>
      <c r="I280" s="627" t="s">
        <v>75</v>
      </c>
      <c r="J280" s="628" t="s">
        <v>76</v>
      </c>
      <c r="K280" s="558"/>
      <c r="L280" s="1081"/>
      <c r="M280" s="1083"/>
      <c r="N280" s="3"/>
      <c r="O280" s="206"/>
      <c r="P280" s="206"/>
      <c r="Q280" s="206"/>
      <c r="R280" s="206"/>
      <c r="S280" s="206"/>
      <c r="T280" s="206"/>
    </row>
    <row r="281" spans="1:20" s="430" customFormat="1" ht="15" customHeight="1" thickBot="1" x14ac:dyDescent="0.35">
      <c r="A281" s="445"/>
      <c r="B281" s="30"/>
      <c r="C281" s="30"/>
      <c r="D281" s="450" t="s">
        <v>209</v>
      </c>
      <c r="E281" s="120"/>
      <c r="F281" s="121"/>
      <c r="G281" s="122"/>
      <c r="H281" s="66"/>
      <c r="I281" s="561"/>
      <c r="J281" s="673"/>
      <c r="K281" s="68"/>
      <c r="L281" s="1084"/>
      <c r="M281" s="1085"/>
      <c r="N281" s="8"/>
      <c r="O281" s="8"/>
      <c r="P281" s="8"/>
      <c r="Q281" s="8"/>
      <c r="R281" s="8"/>
      <c r="S281" s="8"/>
      <c r="T281" s="8"/>
    </row>
    <row r="282" spans="1:20" s="251" customFormat="1" ht="30.75" customHeight="1" x14ac:dyDescent="0.3">
      <c r="A282" s="383"/>
      <c r="B282" s="384"/>
      <c r="C282" s="385"/>
      <c r="D282" s="386"/>
      <c r="E282" s="123">
        <v>1</v>
      </c>
      <c r="F282" s="1337" t="s">
        <v>210</v>
      </c>
      <c r="G282" s="1338"/>
      <c r="H282" s="124">
        <v>1</v>
      </c>
      <c r="I282" s="674">
        <f t="shared" ref="I282:I289" si="12">IF(AND(OR(A282="x", A282="p"),NOT(B282="n")),H282,0)</f>
        <v>0</v>
      </c>
      <c r="J282" s="675">
        <f t="shared" ref="J282:J289" si="13">IF(OR(D282="m", C282="y"),H282,0)</f>
        <v>0</v>
      </c>
      <c r="K282" s="39">
        <f t="shared" ref="K282:K288" si="14">IF(AND(J282&gt;0,C282="y"),H282,0)</f>
        <v>0</v>
      </c>
      <c r="L282" s="125" t="s">
        <v>60</v>
      </c>
      <c r="M282" s="275"/>
      <c r="N282" s="206"/>
      <c r="O282" s="1050"/>
      <c r="P282" s="1022"/>
      <c r="Q282" s="1022"/>
      <c r="R282" s="1022"/>
      <c r="S282" s="206"/>
      <c r="T282" s="206"/>
    </row>
    <row r="283" spans="1:20" s="251" customFormat="1" ht="48" customHeight="1" x14ac:dyDescent="0.3">
      <c r="A283" s="301"/>
      <c r="B283" s="302"/>
      <c r="C283" s="303"/>
      <c r="D283" s="304"/>
      <c r="E283" s="100">
        <v>2</v>
      </c>
      <c r="F283" s="1246" t="s">
        <v>551</v>
      </c>
      <c r="G283" s="1026"/>
      <c r="H283" s="127">
        <v>4</v>
      </c>
      <c r="I283" s="40">
        <f t="shared" si="12"/>
        <v>0</v>
      </c>
      <c r="J283" s="41">
        <f t="shared" si="13"/>
        <v>0</v>
      </c>
      <c r="K283" s="39">
        <f t="shared" si="14"/>
        <v>0</v>
      </c>
      <c r="L283" s="18" t="s">
        <v>60</v>
      </c>
      <c r="M283" s="785"/>
      <c r="N283" s="206"/>
      <c r="O283" s="1069" t="str">
        <f>HYPERLINK("https://www.greenbuilt.org/articles/146-checklist-a-primer-for-passive-solar/","Passive Solar Primer")</f>
        <v>Passive Solar Primer</v>
      </c>
      <c r="P283" s="1022"/>
      <c r="Q283" s="1022"/>
      <c r="R283" s="206"/>
      <c r="S283" s="206"/>
      <c r="T283" s="206"/>
    </row>
    <row r="284" spans="1:20" s="251" customFormat="1" ht="26.25" customHeight="1" x14ac:dyDescent="0.3">
      <c r="A284" s="301"/>
      <c r="B284" s="302"/>
      <c r="C284" s="303"/>
      <c r="D284" s="304"/>
      <c r="E284" s="142">
        <v>3</v>
      </c>
      <c r="F284" s="1073" t="s">
        <v>712</v>
      </c>
      <c r="G284" s="1026"/>
      <c r="H284" s="126">
        <v>3</v>
      </c>
      <c r="I284" s="636">
        <f t="shared" si="12"/>
        <v>0</v>
      </c>
      <c r="J284" s="144">
        <f t="shared" si="13"/>
        <v>0</v>
      </c>
      <c r="K284" s="39">
        <f t="shared" si="14"/>
        <v>0</v>
      </c>
      <c r="L284" s="207" t="s">
        <v>60</v>
      </c>
      <c r="M284" s="277"/>
      <c r="N284" s="206"/>
      <c r="O284" s="1070" t="s">
        <v>211</v>
      </c>
      <c r="P284" s="1022"/>
      <c r="Q284" s="1022"/>
      <c r="R284" s="1022"/>
      <c r="S284" s="206"/>
      <c r="T284" s="206"/>
    </row>
    <row r="285" spans="1:20" s="251" customFormat="1" ht="55.5" customHeight="1" x14ac:dyDescent="0.3">
      <c r="A285" s="301"/>
      <c r="B285" s="302"/>
      <c r="C285" s="303"/>
      <c r="D285" s="304"/>
      <c r="E285" s="90">
        <v>4</v>
      </c>
      <c r="F285" s="1073" t="s">
        <v>713</v>
      </c>
      <c r="G285" s="1026"/>
      <c r="H285" s="821">
        <v>5</v>
      </c>
      <c r="I285" s="40">
        <f t="shared" si="12"/>
        <v>0</v>
      </c>
      <c r="J285" s="41">
        <f t="shared" si="13"/>
        <v>0</v>
      </c>
      <c r="K285" s="39">
        <f t="shared" si="14"/>
        <v>0</v>
      </c>
      <c r="L285" s="18" t="s">
        <v>60</v>
      </c>
      <c r="M285" s="277"/>
      <c r="N285" s="206"/>
      <c r="O285" s="1021" t="s">
        <v>212</v>
      </c>
      <c r="P285" s="1022"/>
      <c r="Q285" s="1022"/>
      <c r="R285" s="1022"/>
      <c r="S285" s="206"/>
      <c r="T285" s="206"/>
    </row>
    <row r="286" spans="1:20" s="251" customFormat="1" ht="42" customHeight="1" x14ac:dyDescent="0.3">
      <c r="A286" s="301"/>
      <c r="B286" s="302"/>
      <c r="C286" s="303"/>
      <c r="D286" s="304"/>
      <c r="E286" s="90">
        <v>5</v>
      </c>
      <c r="F286" s="1073" t="s">
        <v>714</v>
      </c>
      <c r="G286" s="1026"/>
      <c r="H286" s="821">
        <v>1</v>
      </c>
      <c r="I286" s="40">
        <f t="shared" si="12"/>
        <v>0</v>
      </c>
      <c r="J286" s="41">
        <f t="shared" si="13"/>
        <v>0</v>
      </c>
      <c r="K286" s="39">
        <f t="shared" si="14"/>
        <v>0</v>
      </c>
      <c r="L286" s="18" t="s">
        <v>60</v>
      </c>
      <c r="M286" s="277"/>
      <c r="N286" s="206"/>
      <c r="O286" s="206"/>
      <c r="P286" s="206"/>
      <c r="Q286" s="206"/>
      <c r="R286" s="206"/>
      <c r="S286" s="206"/>
      <c r="T286" s="206"/>
    </row>
    <row r="287" spans="1:20" s="251" customFormat="1" ht="37.5" customHeight="1" x14ac:dyDescent="0.3">
      <c r="A287" s="301"/>
      <c r="B287" s="302"/>
      <c r="C287" s="303"/>
      <c r="D287" s="304"/>
      <c r="E287" s="90">
        <v>6</v>
      </c>
      <c r="F287" s="1073" t="s">
        <v>715</v>
      </c>
      <c r="G287" s="1026"/>
      <c r="H287" s="127">
        <v>2</v>
      </c>
      <c r="I287" s="40">
        <f t="shared" si="12"/>
        <v>0</v>
      </c>
      <c r="J287" s="41">
        <f t="shared" si="13"/>
        <v>0</v>
      </c>
      <c r="K287" s="39">
        <f t="shared" si="14"/>
        <v>0</v>
      </c>
      <c r="L287" s="18" t="s">
        <v>213</v>
      </c>
      <c r="M287" s="277"/>
      <c r="N287" s="206"/>
      <c r="O287" s="254"/>
      <c r="P287" s="254"/>
      <c r="Q287" s="254"/>
      <c r="R287" s="254"/>
      <c r="S287" s="254"/>
      <c r="T287" s="254"/>
    </row>
    <row r="288" spans="1:20" s="251" customFormat="1" ht="39" customHeight="1" x14ac:dyDescent="0.3">
      <c r="A288" s="301"/>
      <c r="B288" s="302"/>
      <c r="C288" s="303"/>
      <c r="D288" s="304"/>
      <c r="E288" s="90">
        <v>7</v>
      </c>
      <c r="F288" s="1073" t="s">
        <v>716</v>
      </c>
      <c r="G288" s="1026"/>
      <c r="H288" s="127">
        <v>2</v>
      </c>
      <c r="I288" s="40">
        <f t="shared" si="12"/>
        <v>0</v>
      </c>
      <c r="J288" s="41">
        <f t="shared" si="13"/>
        <v>0</v>
      </c>
      <c r="K288" s="39">
        <f t="shared" si="14"/>
        <v>0</v>
      </c>
      <c r="L288" s="18" t="s">
        <v>213</v>
      </c>
      <c r="M288" s="277"/>
      <c r="N288" s="206"/>
      <c r="O288" s="206"/>
      <c r="P288" s="206"/>
      <c r="Q288" s="206"/>
      <c r="R288" s="206"/>
      <c r="S288" s="206"/>
      <c r="T288" s="206"/>
    </row>
    <row r="289" spans="1:20" s="251" customFormat="1" ht="30" customHeight="1" x14ac:dyDescent="0.3">
      <c r="A289" s="928"/>
      <c r="B289" s="929"/>
      <c r="C289" s="929"/>
      <c r="D289" s="930"/>
      <c r="E289" s="86">
        <v>8</v>
      </c>
      <c r="F289" s="1046" t="s">
        <v>717</v>
      </c>
      <c r="G289" s="1047"/>
      <c r="H289" s="214"/>
      <c r="I289" s="143">
        <f t="shared" si="12"/>
        <v>0</v>
      </c>
      <c r="J289" s="652">
        <f t="shared" si="13"/>
        <v>0</v>
      </c>
      <c r="K289" s="31"/>
      <c r="L289" s="1027" t="s">
        <v>213</v>
      </c>
      <c r="M289" s="1030"/>
      <c r="N289" s="206"/>
      <c r="O289" s="206"/>
      <c r="P289" s="206"/>
      <c r="Q289" s="206"/>
      <c r="R289" s="206"/>
      <c r="S289" s="206"/>
      <c r="T289" s="206"/>
    </row>
    <row r="290" spans="1:20" s="251" customFormat="1" ht="54.5" customHeight="1" x14ac:dyDescent="0.3">
      <c r="A290" s="336"/>
      <c r="B290" s="337"/>
      <c r="C290" s="338"/>
      <c r="D290" s="339"/>
      <c r="E290" s="48" t="s">
        <v>79</v>
      </c>
      <c r="F290" s="1039" t="s">
        <v>718</v>
      </c>
      <c r="G290" s="1040"/>
      <c r="H290" s="46">
        <v>4</v>
      </c>
      <c r="I290" s="630">
        <f>IF(AND(OR(A290="x", A290="p"),NOT(OR(B290="n", A291="x", A291="p", A292="x", A292="p"))),H290,0)</f>
        <v>0</v>
      </c>
      <c r="J290" s="638">
        <f>IF(AND(OR(D290="m", C290="y"),NOT(D291="m"),NOT(C291="y"),NOT(D292="m"),NOT(C292="y")),H290,0)</f>
        <v>0</v>
      </c>
      <c r="K290" s="87">
        <f>IF(AND(J290&gt;0,C290="y"),H290,0)</f>
        <v>0</v>
      </c>
      <c r="L290" s="1028"/>
      <c r="M290" s="1031"/>
      <c r="N290" s="206"/>
      <c r="O290" s="1045"/>
      <c r="P290" s="1022"/>
      <c r="Q290" s="1022"/>
      <c r="R290" s="1022"/>
      <c r="S290" s="208"/>
      <c r="T290" s="208"/>
    </row>
    <row r="291" spans="1:20" s="251" customFormat="1" ht="55" customHeight="1" thickBot="1" x14ac:dyDescent="0.35">
      <c r="A291" s="363"/>
      <c r="B291" s="364"/>
      <c r="C291" s="365"/>
      <c r="D291" s="366"/>
      <c r="E291" s="128" t="s">
        <v>80</v>
      </c>
      <c r="F291" s="1424" t="s">
        <v>719</v>
      </c>
      <c r="G291" s="1341"/>
      <c r="H291" s="129">
        <v>6</v>
      </c>
      <c r="I291" s="676">
        <f>IF(AND(OR(A291="x", A291="p"),NOT(OR(B291="n", A290="x", A290="p", A289="x", A289="p"))),H291,0)</f>
        <v>0</v>
      </c>
      <c r="J291" s="677">
        <f>IF(AND(OR(D291="m", C291="y"),NOT(D289="m"),NOT(C289="y"),NOT(D290="m"),NOT(C290="y")),H291,0)</f>
        <v>0</v>
      </c>
      <c r="K291" s="33">
        <f>IF(AND(J291&gt;0,C291="y"),H291,0)</f>
        <v>0</v>
      </c>
      <c r="L291" s="1029"/>
      <c r="M291" s="1032"/>
      <c r="N291" s="208"/>
      <c r="O291" s="1045"/>
      <c r="P291" s="1022"/>
      <c r="Q291" s="1022"/>
      <c r="R291" s="1022"/>
      <c r="S291" s="206"/>
      <c r="T291" s="206"/>
    </row>
    <row r="292" spans="1:20" s="430" customFormat="1" ht="16.5" customHeight="1" thickBot="1" x14ac:dyDescent="0.35">
      <c r="A292" s="446"/>
      <c r="B292" s="448"/>
      <c r="C292" s="448"/>
      <c r="D292" s="452" t="s">
        <v>593</v>
      </c>
      <c r="E292" s="130"/>
      <c r="F292" s="131"/>
      <c r="G292" s="132"/>
      <c r="H292" s="66"/>
      <c r="I292" s="67"/>
      <c r="J292" s="653"/>
      <c r="K292" s="66"/>
      <c r="L292" s="461"/>
      <c r="M292" s="462"/>
      <c r="N292" s="8"/>
      <c r="O292" s="12"/>
      <c r="P292" s="12"/>
      <c r="Q292" s="12"/>
      <c r="R292" s="12"/>
      <c r="S292" s="12"/>
      <c r="T292" s="12"/>
    </row>
    <row r="293" spans="1:20" s="251" customFormat="1" ht="21.75" customHeight="1" x14ac:dyDescent="0.3">
      <c r="A293" s="961"/>
      <c r="B293" s="962"/>
      <c r="C293" s="962"/>
      <c r="D293" s="963"/>
      <c r="E293" s="1425" t="s">
        <v>580</v>
      </c>
      <c r="F293" s="1426"/>
      <c r="G293" s="1427"/>
      <c r="H293" s="574"/>
      <c r="I293" s="678"/>
      <c r="J293" s="679"/>
      <c r="K293" s="575"/>
      <c r="L293" s="576"/>
      <c r="M293" s="577"/>
      <c r="N293" s="208"/>
      <c r="O293" s="206"/>
      <c r="P293" s="38"/>
      <c r="Q293" s="38"/>
      <c r="R293" s="38"/>
      <c r="S293" s="38"/>
      <c r="T293" s="38"/>
    </row>
    <row r="294" spans="1:20" s="251" customFormat="1" ht="26.25" customHeight="1" x14ac:dyDescent="0.3">
      <c r="A294" s="839"/>
      <c r="B294" s="840"/>
      <c r="C294" s="840"/>
      <c r="D294" s="841"/>
      <c r="E294" s="133">
        <v>9</v>
      </c>
      <c r="F294" s="1048" t="s">
        <v>214</v>
      </c>
      <c r="G294" s="1049"/>
      <c r="H294" s="220"/>
      <c r="I294" s="659"/>
      <c r="J294" s="629"/>
      <c r="K294" s="47"/>
      <c r="L294" s="1033" t="s">
        <v>215</v>
      </c>
      <c r="M294" s="1422"/>
      <c r="N294" s="208"/>
      <c r="O294" s="274" t="s">
        <v>461</v>
      </c>
      <c r="P294" s="38"/>
      <c r="Q294" s="38"/>
      <c r="R294" s="38"/>
      <c r="S294" s="38"/>
      <c r="T294" s="38"/>
    </row>
    <row r="295" spans="1:20" s="251" customFormat="1" ht="23.25" customHeight="1" x14ac:dyDescent="0.3">
      <c r="A295" s="322"/>
      <c r="B295" s="323"/>
      <c r="C295" s="324"/>
      <c r="D295" s="325"/>
      <c r="E295" s="48" t="s">
        <v>79</v>
      </c>
      <c r="F295" s="1039" t="s">
        <v>605</v>
      </c>
      <c r="G295" s="1040"/>
      <c r="H295" s="46">
        <v>3</v>
      </c>
      <c r="I295" s="630">
        <f>IF(AND(OR(A295="x", A295="p"),NOT(OR(B295="n", A296="x", A296="p"))),H295,0)</f>
        <v>0</v>
      </c>
      <c r="J295" s="638">
        <f>IF(AND(OR(D295="m", C295="y"),NOT(D296="m"),NOT(C296="y")),H295,0)</f>
        <v>0</v>
      </c>
      <c r="K295" s="39">
        <f t="shared" ref="K295:K300" si="15">IF(AND(J295&gt;0,C295="y"),H295,0)</f>
        <v>0</v>
      </c>
      <c r="L295" s="1028"/>
      <c r="M295" s="1351"/>
      <c r="N295" s="208"/>
      <c r="O295" s="209" t="str">
        <f>HYPERLINK("https://www.greenbuilt.org/wp-content/uploads/2017/08/DuctSealing.pdf","Advanced Energy: Duct Sealing")</f>
        <v>Advanced Energy: Duct Sealing</v>
      </c>
      <c r="P295" s="208"/>
      <c r="Q295" s="208"/>
      <c r="R295" s="208"/>
      <c r="S295" s="208"/>
      <c r="T295" s="208"/>
    </row>
    <row r="296" spans="1:20" s="251" customFormat="1" ht="24.75" customHeight="1" x14ac:dyDescent="0.3">
      <c r="A296" s="351"/>
      <c r="B296" s="352"/>
      <c r="C296" s="387"/>
      <c r="D296" s="388"/>
      <c r="E296" s="105" t="s">
        <v>80</v>
      </c>
      <c r="F296" s="1035" t="s">
        <v>606</v>
      </c>
      <c r="G296" s="1036"/>
      <c r="H296" s="59">
        <v>5</v>
      </c>
      <c r="I296" s="632">
        <f>IF(AND(OR(A296="x", A296="p"),NOT(OR(B296="n", A295="x", A295="p"))),H296,0)</f>
        <v>0</v>
      </c>
      <c r="J296" s="669">
        <f>IF(AND(OR(D296="m", C296="y"),NOT(D295="m"),NOT(C295="y")),H296,0)</f>
        <v>0</v>
      </c>
      <c r="K296" s="39">
        <f t="shared" si="15"/>
        <v>0</v>
      </c>
      <c r="L296" s="1034"/>
      <c r="M296" s="1352"/>
      <c r="N296" s="208"/>
      <c r="O296" s="208"/>
      <c r="P296" s="208"/>
      <c r="Q296" s="208"/>
      <c r="R296" s="208"/>
      <c r="S296" s="208"/>
      <c r="T296" s="208"/>
    </row>
    <row r="297" spans="1:20" s="251" customFormat="1" ht="14" x14ac:dyDescent="0.3">
      <c r="A297" s="301"/>
      <c r="B297" s="302"/>
      <c r="C297" s="334"/>
      <c r="D297" s="335"/>
      <c r="E297" s="248">
        <v>10</v>
      </c>
      <c r="F297" s="1328" t="s">
        <v>611</v>
      </c>
      <c r="G297" s="1047"/>
      <c r="H297" s="218">
        <v>2</v>
      </c>
      <c r="I297" s="40">
        <f>IF(AND(OR(A297="x", A297="p"),NOT(B297="n")),H297,0)</f>
        <v>0</v>
      </c>
      <c r="J297" s="144">
        <f>IF(OR(D297="m", C297="y"),H297,0)</f>
        <v>0</v>
      </c>
      <c r="K297" s="31">
        <f t="shared" si="15"/>
        <v>0</v>
      </c>
      <c r="L297" s="207" t="s">
        <v>60</v>
      </c>
      <c r="M297" s="702"/>
      <c r="N297" s="208"/>
      <c r="O297" s="209" t="s">
        <v>216</v>
      </c>
      <c r="P297" s="208"/>
      <c r="Q297" s="208"/>
      <c r="R297" s="208"/>
      <c r="S297" s="208"/>
      <c r="T297" s="208"/>
    </row>
    <row r="298" spans="1:20" s="251" customFormat="1" ht="24.5" customHeight="1" x14ac:dyDescent="0.3">
      <c r="A298" s="301"/>
      <c r="B298" s="302"/>
      <c r="C298" s="303"/>
      <c r="D298" s="304"/>
      <c r="E298" s="100">
        <v>11</v>
      </c>
      <c r="F298" s="1249" t="s">
        <v>720</v>
      </c>
      <c r="G298" s="1026"/>
      <c r="H298" s="36">
        <v>4</v>
      </c>
      <c r="I298" s="40">
        <f>IF(AND(OR(A298="x", A298="p"),NOT(B298="n")),H298,0)</f>
        <v>0</v>
      </c>
      <c r="J298" s="41">
        <f>IF(OR(D298="m", C298="y"),H298,0)</f>
        <v>0</v>
      </c>
      <c r="K298" s="39">
        <f t="shared" si="15"/>
        <v>0</v>
      </c>
      <c r="L298" s="18" t="s">
        <v>60</v>
      </c>
      <c r="M298" s="277"/>
      <c r="N298" s="208"/>
      <c r="O298" s="206"/>
      <c r="P298" s="38"/>
      <c r="Q298" s="38"/>
      <c r="R298" s="38"/>
      <c r="S298" s="38"/>
      <c r="T298" s="38"/>
    </row>
    <row r="299" spans="1:20" s="251" customFormat="1" ht="28.5" customHeight="1" x14ac:dyDescent="0.3">
      <c r="A299" s="301"/>
      <c r="B299" s="302"/>
      <c r="C299" s="309"/>
      <c r="D299" s="310"/>
      <c r="E299" s="90">
        <v>12</v>
      </c>
      <c r="F299" s="1073" t="s">
        <v>607</v>
      </c>
      <c r="G299" s="1026"/>
      <c r="H299" s="127">
        <v>3</v>
      </c>
      <c r="I299" s="40">
        <f>IF(AND(OR(A299="x", A299="p"),NOT(B299="n")),H299,0)</f>
        <v>0</v>
      </c>
      <c r="J299" s="41">
        <f>IF(OR(D299="m", C299="y"),H299,0)</f>
        <v>0</v>
      </c>
      <c r="K299" s="39">
        <f t="shared" si="15"/>
        <v>0</v>
      </c>
      <c r="L299" s="18" t="s">
        <v>217</v>
      </c>
      <c r="M299" s="276"/>
      <c r="N299" s="206"/>
      <c r="O299" s="484" t="s">
        <v>218</v>
      </c>
      <c r="P299" s="483"/>
      <c r="Q299" s="483"/>
      <c r="R299" s="483"/>
      <c r="S299" s="483"/>
      <c r="T299" s="486"/>
    </row>
    <row r="300" spans="1:20" s="251" customFormat="1" ht="14" x14ac:dyDescent="0.3">
      <c r="A300" s="301"/>
      <c r="B300" s="302"/>
      <c r="C300" s="303"/>
      <c r="D300" s="304"/>
      <c r="E300" s="90">
        <v>13</v>
      </c>
      <c r="F300" s="1073" t="s">
        <v>219</v>
      </c>
      <c r="G300" s="1026"/>
      <c r="H300" s="127">
        <v>2</v>
      </c>
      <c r="I300" s="40">
        <f>IF(AND(OR(A300="x", A300="p"),NOT(B300="n")),H300,0)</f>
        <v>0</v>
      </c>
      <c r="J300" s="41">
        <f>IF(OR(D300="m", C300="y"),H300,0)</f>
        <v>0</v>
      </c>
      <c r="K300" s="39">
        <f t="shared" si="15"/>
        <v>0</v>
      </c>
      <c r="L300" s="18" t="s">
        <v>220</v>
      </c>
      <c r="M300" s="277"/>
      <c r="N300" s="206"/>
      <c r="O300" s="1074"/>
      <c r="P300" s="1022"/>
      <c r="Q300" s="1022"/>
      <c r="R300" s="206"/>
      <c r="S300" s="206"/>
      <c r="T300" s="206"/>
    </row>
    <row r="301" spans="1:20" s="251" customFormat="1" ht="14" x14ac:dyDescent="0.3">
      <c r="A301" s="842"/>
      <c r="B301" s="884"/>
      <c r="C301" s="884"/>
      <c r="D301" s="844"/>
      <c r="E301" s="82">
        <v>14</v>
      </c>
      <c r="F301" s="1250" t="s">
        <v>221</v>
      </c>
      <c r="G301" s="1047"/>
      <c r="H301" s="218"/>
      <c r="I301" s="143">
        <f>IF(AND(OR(A301="x", A301="p"),NOT(B301="n")),H301,0)</f>
        <v>0</v>
      </c>
      <c r="J301" s="144"/>
      <c r="K301" s="39"/>
      <c r="L301" s="1027" t="s">
        <v>60</v>
      </c>
      <c r="M301" s="1056"/>
      <c r="N301" s="206"/>
      <c r="O301" s="206"/>
      <c r="P301" s="206"/>
      <c r="Q301" s="206"/>
      <c r="R301" s="206"/>
      <c r="S301" s="206"/>
      <c r="T301" s="206"/>
    </row>
    <row r="302" spans="1:20" s="251" customFormat="1" ht="14" x14ac:dyDescent="0.3">
      <c r="A302" s="322"/>
      <c r="B302" s="323"/>
      <c r="C302" s="324"/>
      <c r="D302" s="325"/>
      <c r="E302" s="48" t="s">
        <v>79</v>
      </c>
      <c r="F302" s="1039" t="s">
        <v>222</v>
      </c>
      <c r="G302" s="1040"/>
      <c r="H302" s="46">
        <v>1</v>
      </c>
      <c r="I302" s="630">
        <f>IF(AND(OR(A302="x", A302="p"),NOT(OR(B302="n", A303="x", A303="p", A304="x", A304="p"))),H302,0)</f>
        <v>0</v>
      </c>
      <c r="J302" s="638">
        <f>IF(AND(OR(D302="m", C302="y"),NOT(D303="m"),NOT(C303="y"),NOT(D304="m"),NOT(C304="y")),H302,0)</f>
        <v>0</v>
      </c>
      <c r="K302" s="39">
        <f>IF(AND(J302&gt;0,C302="y"),H302,0)</f>
        <v>0</v>
      </c>
      <c r="L302" s="1028"/>
      <c r="M302" s="1031"/>
      <c r="N302" s="206"/>
      <c r="O302" s="209" t="s">
        <v>223</v>
      </c>
      <c r="P302" s="208"/>
      <c r="Q302" s="208"/>
      <c r="R302" s="208"/>
      <c r="S302" s="208"/>
      <c r="T302" s="208"/>
    </row>
    <row r="303" spans="1:20" s="251" customFormat="1" ht="14" x14ac:dyDescent="0.3">
      <c r="A303" s="293"/>
      <c r="B303" s="294"/>
      <c r="C303" s="387"/>
      <c r="D303" s="388"/>
      <c r="E303" s="48" t="s">
        <v>80</v>
      </c>
      <c r="F303" s="1142" t="s">
        <v>224</v>
      </c>
      <c r="G303" s="1040"/>
      <c r="H303" s="46">
        <v>3</v>
      </c>
      <c r="I303" s="630">
        <f>IF(AND(OR(A303="x", A303="p"),NOT(OR(B303="n", A302="x", A302="p", A304="x", A304="p"))),H303,0)</f>
        <v>0</v>
      </c>
      <c r="J303" s="638">
        <f>IF(AND(OR(D303="m", C303="y"),NOT(D304="m"),NOT(C304="y"),NOT(D302="m"),NOT(C302="y")),H303,0)</f>
        <v>0</v>
      </c>
      <c r="K303" s="39">
        <f>IF(AND(J303&gt;0,C303="y"),H303,0)</f>
        <v>0</v>
      </c>
      <c r="L303" s="1028"/>
      <c r="M303" s="1031"/>
      <c r="N303" s="206"/>
      <c r="O303" s="206"/>
      <c r="P303" s="206"/>
      <c r="Q303" s="206"/>
      <c r="R303" s="206"/>
      <c r="S303" s="206"/>
      <c r="T303" s="206"/>
    </row>
    <row r="304" spans="1:20" s="251" customFormat="1" ht="14" x14ac:dyDescent="0.3">
      <c r="A304" s="297"/>
      <c r="B304" s="298"/>
      <c r="C304" s="389"/>
      <c r="D304" s="390"/>
      <c r="E304" s="117" t="s">
        <v>82</v>
      </c>
      <c r="F304" s="1150" t="s">
        <v>225</v>
      </c>
      <c r="G304" s="1024"/>
      <c r="H304" s="69">
        <v>1</v>
      </c>
      <c r="I304" s="680">
        <f>IF(AND(OR(A304="x", A304="p"),NOT(OR(B304="n", A302="x", A302="p", A303="x", A303="p"))),H304,0)</f>
        <v>0</v>
      </c>
      <c r="J304" s="643">
        <f>IF(AND(OR(D304="m", C304="y"),NOT(D302="m"),NOT(C302="y"),NOT(D303="m"),NOT(C303="y")),H304,0)</f>
        <v>0</v>
      </c>
      <c r="K304" s="39">
        <f>IF(AND(J304&gt;0,C304="y"),H304,0)</f>
        <v>0</v>
      </c>
      <c r="L304" s="1034"/>
      <c r="M304" s="1091"/>
      <c r="N304" s="206"/>
      <c r="O304" s="206"/>
      <c r="P304" s="206"/>
      <c r="Q304" s="206"/>
      <c r="R304" s="206"/>
      <c r="S304" s="206"/>
      <c r="T304" s="206"/>
    </row>
    <row r="305" spans="1:20" s="251" customFormat="1" ht="25" x14ac:dyDescent="0.3">
      <c r="A305" s="301"/>
      <c r="B305" s="302"/>
      <c r="C305" s="303"/>
      <c r="D305" s="304"/>
      <c r="E305" s="90">
        <v>15</v>
      </c>
      <c r="F305" s="1073" t="s">
        <v>226</v>
      </c>
      <c r="G305" s="1026"/>
      <c r="H305" s="127">
        <v>2</v>
      </c>
      <c r="I305" s="40">
        <f>IF(AND(OR(A305="x", A305="p"),NOT(B305="n")),H305,0)</f>
        <v>0</v>
      </c>
      <c r="J305" s="41">
        <f>IF(OR(D305="m", C305="y"),H305,0)</f>
        <v>0</v>
      </c>
      <c r="K305" s="39">
        <f>IF(AND(J305&gt;0,C305="y"),H305,0)</f>
        <v>0</v>
      </c>
      <c r="L305" s="18" t="s">
        <v>227</v>
      </c>
      <c r="M305" s="276"/>
      <c r="N305" s="206"/>
      <c r="O305" s="1021" t="s">
        <v>228</v>
      </c>
      <c r="P305" s="1022"/>
      <c r="Q305" s="1022"/>
      <c r="R305" s="1022"/>
      <c r="S305" s="206"/>
      <c r="T305" s="206"/>
    </row>
    <row r="306" spans="1:20" s="251" customFormat="1" ht="22.5" customHeight="1" x14ac:dyDescent="0.3">
      <c r="A306" s="928"/>
      <c r="B306" s="929"/>
      <c r="C306" s="929"/>
      <c r="D306" s="930"/>
      <c r="E306" s="1077" t="s">
        <v>579</v>
      </c>
      <c r="F306" s="1078"/>
      <c r="G306" s="1079"/>
      <c r="H306" s="566"/>
      <c r="I306" s="660"/>
      <c r="J306" s="661"/>
      <c r="K306" s="567"/>
      <c r="L306" s="568"/>
      <c r="M306" s="569"/>
      <c r="N306" s="206"/>
      <c r="O306" s="206"/>
      <c r="P306" s="38"/>
      <c r="Q306" s="38"/>
      <c r="R306" s="38"/>
      <c r="S306" s="206"/>
      <c r="T306" s="206"/>
    </row>
    <row r="307" spans="1:20" s="251" customFormat="1" ht="30" customHeight="1" thickBot="1" x14ac:dyDescent="0.35">
      <c r="A307" s="1227"/>
      <c r="B307" s="1229"/>
      <c r="C307" s="1098"/>
      <c r="D307" s="1100"/>
      <c r="E307" s="1333">
        <v>16</v>
      </c>
      <c r="F307" s="1046" t="s">
        <v>229</v>
      </c>
      <c r="G307" s="1047"/>
      <c r="H307" s="1105" t="s">
        <v>230</v>
      </c>
      <c r="I307" s="1106">
        <f>IF(AND(A307="p",F308&gt;0,NOT(B307="n")), MIN(20,ROUNDDOWN(F308/100*20,0)),0)</f>
        <v>0</v>
      </c>
      <c r="J307" s="1108">
        <f>IF(AND(OR(C307="y",D307="m"),F308&gt;0), MIN(20,ROUNDDOWN(F308/100*20,0)),0)</f>
        <v>0</v>
      </c>
      <c r="K307" s="1110">
        <f>IF(AND(OR(C307="y"),F308&gt;0,), MIN(20,ROUNDDOWN(F308/100*20,0)),0)</f>
        <v>0</v>
      </c>
      <c r="L307" s="1027" t="s">
        <v>217</v>
      </c>
      <c r="M307" s="1056"/>
      <c r="N307" s="206"/>
      <c r="O307" s="708" t="s">
        <v>231</v>
      </c>
      <c r="P307" s="709"/>
      <c r="Q307" s="709"/>
      <c r="R307" s="709"/>
      <c r="S307" s="711"/>
      <c r="T307" s="206"/>
    </row>
    <row r="308" spans="1:20" s="251" customFormat="1" ht="14.25" customHeight="1" thickBot="1" x14ac:dyDescent="0.35">
      <c r="A308" s="1331"/>
      <c r="B308" s="1332"/>
      <c r="C308" s="1099"/>
      <c r="D308" s="1101"/>
      <c r="E308" s="1334"/>
      <c r="F308" s="331">
        <v>0</v>
      </c>
      <c r="G308" s="134" t="s">
        <v>578</v>
      </c>
      <c r="H308" s="1031"/>
      <c r="I308" s="1107"/>
      <c r="J308" s="1109"/>
      <c r="K308" s="1028"/>
      <c r="L308" s="1028"/>
      <c r="M308" s="1093"/>
      <c r="N308" s="206"/>
      <c r="O308" s="1075" t="s">
        <v>232</v>
      </c>
      <c r="P308" s="1022"/>
      <c r="Q308" s="1022"/>
      <c r="R308" s="1022"/>
      <c r="S308" s="206"/>
      <c r="T308" s="206"/>
    </row>
    <row r="309" spans="1:20" s="430" customFormat="1" ht="14.25" customHeight="1" thickBot="1" x14ac:dyDescent="0.35">
      <c r="A309" s="446"/>
      <c r="B309" s="448"/>
      <c r="C309" s="448"/>
      <c r="D309" s="453" t="s">
        <v>592</v>
      </c>
      <c r="E309" s="95"/>
      <c r="F309" s="96"/>
      <c r="G309" s="135"/>
      <c r="H309" s="66"/>
      <c r="I309" s="67"/>
      <c r="J309" s="653"/>
      <c r="K309" s="73"/>
      <c r="L309" s="461"/>
      <c r="M309" s="462"/>
      <c r="N309" s="8"/>
      <c r="O309" s="8"/>
      <c r="P309" s="467"/>
      <c r="Q309" s="8"/>
      <c r="R309" s="8"/>
      <c r="S309" s="8"/>
      <c r="T309" s="8"/>
    </row>
    <row r="310" spans="1:20" s="251" customFormat="1" ht="14" x14ac:dyDescent="0.3">
      <c r="A310" s="301"/>
      <c r="B310" s="302"/>
      <c r="C310" s="309"/>
      <c r="D310" s="310"/>
      <c r="E310" s="90">
        <v>17</v>
      </c>
      <c r="F310" s="1073" t="s">
        <v>233</v>
      </c>
      <c r="G310" s="1026"/>
      <c r="H310" s="127">
        <v>2</v>
      </c>
      <c r="I310" s="40">
        <f>IF(AND(OR(A310="x", A310="p"),NOT(B310="n")),H310,0)</f>
        <v>0</v>
      </c>
      <c r="J310" s="41">
        <f>IF(OR(D310="m", C310="y"),H310,0)</f>
        <v>0</v>
      </c>
      <c r="K310" s="39">
        <f>IF(AND(J310&gt;0,C310="y"),H310,0)</f>
        <v>0</v>
      </c>
      <c r="L310" s="18" t="s">
        <v>234</v>
      </c>
      <c r="M310" s="785"/>
      <c r="N310" s="206"/>
      <c r="O310" s="209" t="str">
        <f>HYPERLINK("https://www.energystar.gov/ia/partners/bldrs_lenders_raters/downloads/ENERGY_STAR_V3_HVAC_Quality_Installation_Guidebook_2.21.2011.pdf","ENERGY STAR HVAC Guidebook")</f>
        <v>ENERGY STAR HVAC Guidebook</v>
      </c>
      <c r="P310" s="206"/>
      <c r="Q310" s="206"/>
      <c r="R310" s="206"/>
      <c r="S310" s="206"/>
      <c r="T310" s="206"/>
    </row>
    <row r="311" spans="1:20" s="251" customFormat="1" ht="14" x14ac:dyDescent="0.3">
      <c r="A311" s="332"/>
      <c r="B311" s="333"/>
      <c r="C311" s="334"/>
      <c r="D311" s="335"/>
      <c r="E311" s="86">
        <v>19</v>
      </c>
      <c r="F311" s="1073" t="s">
        <v>235</v>
      </c>
      <c r="G311" s="1026"/>
      <c r="H311" s="214">
        <v>3</v>
      </c>
      <c r="I311" s="636">
        <f>IF(AND(OR(A311="x", A311="p"),NOT(B311="n")),H311,0)</f>
        <v>0</v>
      </c>
      <c r="J311" s="144">
        <f>IF(OR(D311="m", C311="y"),H311,0)</f>
        <v>0</v>
      </c>
      <c r="K311" s="31">
        <f>IF(AND(J311&gt;0,C311="y"),H311,0)</f>
        <v>0</v>
      </c>
      <c r="L311" s="207" t="s">
        <v>236</v>
      </c>
      <c r="M311" s="702"/>
      <c r="N311" s="206"/>
      <c r="O311" s="1075" t="s">
        <v>237</v>
      </c>
      <c r="P311" s="1022"/>
      <c r="Q311" s="1022"/>
      <c r="R311" s="38"/>
      <c r="S311" s="206"/>
      <c r="T311" s="206"/>
    </row>
    <row r="312" spans="1:20" s="251" customFormat="1" ht="14" x14ac:dyDescent="0.3">
      <c r="A312" s="332"/>
      <c r="B312" s="333"/>
      <c r="C312" s="334"/>
      <c r="D312" s="335"/>
      <c r="E312" s="86">
        <v>20</v>
      </c>
      <c r="F312" s="1073" t="s">
        <v>238</v>
      </c>
      <c r="G312" s="1026"/>
      <c r="H312" s="214">
        <v>2</v>
      </c>
      <c r="I312" s="636">
        <f>IF(AND(OR(A312="x", A312="p"),NOT(B312="n")),H312,0)</f>
        <v>0</v>
      </c>
      <c r="J312" s="144">
        <f>IF(OR(D312="m", C312="y"),H312,0)</f>
        <v>0</v>
      </c>
      <c r="K312" s="31">
        <f>IF(AND(J312&gt;0,C312="y"),H312,0)</f>
        <v>0</v>
      </c>
      <c r="L312" s="207" t="s">
        <v>60</v>
      </c>
      <c r="M312" s="702"/>
      <c r="N312" s="206"/>
      <c r="O312" s="209" t="s">
        <v>239</v>
      </c>
      <c r="P312" s="208"/>
      <c r="Q312" s="208"/>
      <c r="R312" s="208"/>
      <c r="S312" s="208"/>
      <c r="T312" s="208"/>
    </row>
    <row r="313" spans="1:20" s="251" customFormat="1" ht="15" customHeight="1" x14ac:dyDescent="0.3">
      <c r="A313" s="842"/>
      <c r="B313" s="884"/>
      <c r="C313" s="884"/>
      <c r="D313" s="844"/>
      <c r="E313" s="82">
        <v>22</v>
      </c>
      <c r="F313" s="1250" t="s">
        <v>240</v>
      </c>
      <c r="G313" s="1047"/>
      <c r="H313" s="218"/>
      <c r="I313" s="143"/>
      <c r="J313" s="144"/>
      <c r="K313" s="39"/>
      <c r="L313" s="1027" t="s">
        <v>241</v>
      </c>
      <c r="M313" s="1056"/>
      <c r="N313" s="206"/>
      <c r="O313" s="206"/>
      <c r="P313" s="206"/>
      <c r="Q313" s="206"/>
      <c r="R313" s="206"/>
      <c r="S313" s="206"/>
      <c r="T313" s="206"/>
    </row>
    <row r="314" spans="1:20" s="251" customFormat="1" ht="15" customHeight="1" x14ac:dyDescent="0.3">
      <c r="A314" s="322"/>
      <c r="B314" s="323"/>
      <c r="C314" s="324"/>
      <c r="D314" s="325"/>
      <c r="E314" s="48" t="s">
        <v>79</v>
      </c>
      <c r="F314" s="1076" t="s">
        <v>542</v>
      </c>
      <c r="G314" s="1036"/>
      <c r="H314" s="46">
        <v>2</v>
      </c>
      <c r="I314" s="630">
        <f>IF(AND(OR(A314="x", A314="p"),NOT(OR(B314="n", A315="x", A315="p"))),H314,0)</f>
        <v>0</v>
      </c>
      <c r="J314" s="638">
        <f>IF(AND(OR(D314="m", C314="y"),NOT(D315="m"),NOT(C315="y")),H314,0)</f>
        <v>0</v>
      </c>
      <c r="K314" s="39">
        <f>IF(AND(J314&gt;0,C314="y"),H314,0)</f>
        <v>0</v>
      </c>
      <c r="L314" s="1028"/>
      <c r="M314" s="1057"/>
      <c r="N314" s="208"/>
      <c r="O314" s="208"/>
      <c r="P314" s="208"/>
      <c r="Q314" s="208"/>
      <c r="R314" s="208"/>
      <c r="S314" s="208"/>
      <c r="T314" s="208"/>
    </row>
    <row r="315" spans="1:20" s="251" customFormat="1" ht="14.25" customHeight="1" x14ac:dyDescent="0.3">
      <c r="A315" s="293"/>
      <c r="B315" s="294"/>
      <c r="C315" s="295"/>
      <c r="D315" s="296"/>
      <c r="E315" s="88" t="s">
        <v>80</v>
      </c>
      <c r="F315" s="1076" t="s">
        <v>543</v>
      </c>
      <c r="G315" s="1036"/>
      <c r="H315" s="69">
        <v>3</v>
      </c>
      <c r="I315" s="639">
        <f>IF(AND(OR(A315="x", A315="p"),NOT(OR(B315="n", A314="x", A314="p"))),H315,0)</f>
        <v>0</v>
      </c>
      <c r="J315" s="640">
        <f>IF(AND(OR(D315="m", C315="y"),NOT(D314="m"),NOT(C314="y")),H315,0)</f>
        <v>0</v>
      </c>
      <c r="K315" s="39">
        <f>IF(AND(J315&gt;0,C315="y"),H315,0)</f>
        <v>0</v>
      </c>
      <c r="L315" s="1034"/>
      <c r="M315" s="1058"/>
      <c r="N315" s="208"/>
      <c r="O315" s="208"/>
      <c r="P315" s="208"/>
      <c r="Q315" s="208"/>
      <c r="R315" s="208"/>
      <c r="S315" s="208"/>
      <c r="T315" s="208"/>
    </row>
    <row r="316" spans="1:20" s="251" customFormat="1" ht="14" x14ac:dyDescent="0.3">
      <c r="A316" s="839"/>
      <c r="B316" s="840"/>
      <c r="C316" s="840"/>
      <c r="D316" s="841"/>
      <c r="E316" s="82">
        <v>21</v>
      </c>
      <c r="F316" s="1046" t="s">
        <v>242</v>
      </c>
      <c r="G316" s="1047"/>
      <c r="H316" s="220"/>
      <c r="I316" s="656"/>
      <c r="J316" s="629"/>
      <c r="K316" s="47"/>
      <c r="L316" s="1033" t="s">
        <v>60</v>
      </c>
      <c r="M316" s="1104"/>
      <c r="N316" s="208"/>
      <c r="O316" s="208"/>
      <c r="P316" s="208"/>
      <c r="Q316" s="208"/>
      <c r="R316" s="208"/>
      <c r="S316" s="208"/>
      <c r="T316" s="208"/>
    </row>
    <row r="317" spans="1:20" s="251" customFormat="1" ht="14" x14ac:dyDescent="0.3">
      <c r="A317" s="322"/>
      <c r="B317" s="323"/>
      <c r="C317" s="324"/>
      <c r="D317" s="325"/>
      <c r="E317" s="48" t="s">
        <v>79</v>
      </c>
      <c r="F317" s="1039" t="s">
        <v>544</v>
      </c>
      <c r="G317" s="1040"/>
      <c r="H317" s="46">
        <v>1</v>
      </c>
      <c r="I317" s="630">
        <f>IF(AND(OR(A317="x", A317="p"),NOT(OR(B317="n", A318="x", A318="p"))),H317,0)</f>
        <v>0</v>
      </c>
      <c r="J317" s="638">
        <f>IF(AND(OR(D317="m", C317="y"),NOT(D318="m"),NOT(C318="y")),H317,0)</f>
        <v>0</v>
      </c>
      <c r="K317" s="39">
        <f>IF(AND(J317&gt;0,C317="y"),H317,0)</f>
        <v>0</v>
      </c>
      <c r="L317" s="1028"/>
      <c r="M317" s="1057"/>
      <c r="N317" s="208"/>
      <c r="O317" s="1075" t="s">
        <v>243</v>
      </c>
      <c r="P317" s="1022"/>
      <c r="Q317" s="208"/>
      <c r="R317" s="208"/>
      <c r="S317" s="208"/>
      <c r="T317" s="208"/>
    </row>
    <row r="318" spans="1:20" s="251" customFormat="1" ht="14" x14ac:dyDescent="0.3">
      <c r="A318" s="297"/>
      <c r="B318" s="298"/>
      <c r="C318" s="387"/>
      <c r="D318" s="388"/>
      <c r="E318" s="105" t="s">
        <v>80</v>
      </c>
      <c r="F318" s="1039" t="s">
        <v>680</v>
      </c>
      <c r="G318" s="1040"/>
      <c r="H318" s="46">
        <v>2</v>
      </c>
      <c r="I318" s="630">
        <f>IF(AND(OR(A318="x", A318="p"),NOT(OR(B318="n", A317="x", A317="p"))),H318,0)</f>
        <v>0</v>
      </c>
      <c r="J318" s="638">
        <f>IF(AND(OR(D318="m", C318="y"),NOT(D317="m"),NOT(C317="y")),H318,0)</f>
        <v>0</v>
      </c>
      <c r="K318" s="39">
        <f>IF(AND(J318&gt;0,C318="y"),H318,0)</f>
        <v>0</v>
      </c>
      <c r="L318" s="1034"/>
      <c r="M318" s="1058"/>
      <c r="N318" s="208"/>
      <c r="O318" s="208"/>
      <c r="P318" s="208"/>
      <c r="Q318" s="208"/>
      <c r="R318" s="208"/>
      <c r="S318" s="208"/>
      <c r="T318" s="208"/>
    </row>
    <row r="319" spans="1:20" s="251" customFormat="1" ht="15" customHeight="1" x14ac:dyDescent="0.3">
      <c r="A319" s="842"/>
      <c r="B319" s="884"/>
      <c r="C319" s="884"/>
      <c r="D319" s="844"/>
      <c r="E319" s="82">
        <v>22</v>
      </c>
      <c r="F319" s="1250" t="s">
        <v>244</v>
      </c>
      <c r="G319" s="1047"/>
      <c r="H319" s="218"/>
      <c r="I319" s="143"/>
      <c r="J319" s="144"/>
      <c r="K319" s="39"/>
      <c r="L319" s="1128" t="s">
        <v>241</v>
      </c>
      <c r="M319" s="1056"/>
      <c r="N319" s="206"/>
      <c r="O319" s="206"/>
      <c r="P319" s="206"/>
      <c r="Q319" s="206"/>
      <c r="R319" s="206"/>
      <c r="S319" s="206"/>
      <c r="T319" s="206"/>
    </row>
    <row r="320" spans="1:20" s="251" customFormat="1" ht="15" customHeight="1" x14ac:dyDescent="0.3">
      <c r="A320" s="322"/>
      <c r="B320" s="323"/>
      <c r="C320" s="324"/>
      <c r="D320" s="325"/>
      <c r="E320" s="48" t="s">
        <v>79</v>
      </c>
      <c r="F320" s="1076" t="s">
        <v>447</v>
      </c>
      <c r="G320" s="1036"/>
      <c r="H320" s="46">
        <v>1</v>
      </c>
      <c r="I320" s="630">
        <f>IF(AND(OR(A320="x", A320="p"),NOT(OR(B320="n", A321="x", A321="p", A322="x", A322="p",A323="x",A323="p"))),H320,0)</f>
        <v>0</v>
      </c>
      <c r="J320" s="638">
        <f>IF(AND(OR(D320="m",C320="y"),NOT(D321="m"),NOT(C321="y"),NOT(D322="m"),NOT(C322="y"),NOT(D323="y"),NOT(C323="y")),H320,0)</f>
        <v>0</v>
      </c>
      <c r="K320" s="39">
        <f>IF(AND(J320&gt;0,C320="y"),H320,0)</f>
        <v>0</v>
      </c>
      <c r="L320" s="1129"/>
      <c r="M320" s="1131"/>
      <c r="N320" s="208"/>
      <c r="O320" s="208"/>
      <c r="P320" s="208"/>
      <c r="Q320" s="208"/>
      <c r="R320" s="208"/>
      <c r="S320" s="208"/>
      <c r="T320" s="208"/>
    </row>
    <row r="321" spans="1:20" s="251" customFormat="1" ht="14.25" customHeight="1" x14ac:dyDescent="0.3">
      <c r="A321" s="293"/>
      <c r="B321" s="294"/>
      <c r="C321" s="295"/>
      <c r="D321" s="296"/>
      <c r="E321" s="88" t="s">
        <v>80</v>
      </c>
      <c r="F321" s="1076" t="s">
        <v>448</v>
      </c>
      <c r="G321" s="1036"/>
      <c r="H321" s="46">
        <v>3</v>
      </c>
      <c r="I321" s="630">
        <f>IF(AND(OR(A321="x", A321="p"),NOT(OR(B321="n", A320="x", A320="p", A322="x", A322="p",A323="x",A323="p"))),H321,0)</f>
        <v>0</v>
      </c>
      <c r="J321" s="638">
        <f>IF(AND(OR(D321="m",C321="y"),NOT(D322="m"),NOT(C322="y"),NOT(D323="m"),NOT(C323="y"),NOT(D320="y"),NOT(C320="y")),H321,0)</f>
        <v>0</v>
      </c>
      <c r="K321" s="39">
        <f>IF(AND(J321&gt;0,C321="y"),H321,0)</f>
        <v>0</v>
      </c>
      <c r="L321" s="1129"/>
      <c r="M321" s="1131"/>
      <c r="N321" s="208"/>
      <c r="O321" s="208"/>
      <c r="P321" s="208"/>
      <c r="Q321" s="208"/>
      <c r="R321" s="208"/>
      <c r="S321" s="208"/>
      <c r="T321" s="208"/>
    </row>
    <row r="322" spans="1:20" s="251" customFormat="1" ht="14.25" customHeight="1" x14ac:dyDescent="0.3">
      <c r="A322" s="824"/>
      <c r="B322" s="825"/>
      <c r="C322" s="829"/>
      <c r="D322" s="826"/>
      <c r="E322" s="48" t="s">
        <v>82</v>
      </c>
      <c r="F322" s="1063" t="s">
        <v>449</v>
      </c>
      <c r="G322" s="1040"/>
      <c r="H322" s="59">
        <v>5</v>
      </c>
      <c r="I322" s="630">
        <f>IF(AND(OR(A322="x", A322="p"),NOT(OR(B322="n", A321="x", A321="p", A324="x", A324="p",A323="x",A323="p",A320="x",A320="p"))),H322,0)</f>
        <v>0</v>
      </c>
      <c r="J322" s="638">
        <f>IF(AND(OR(D322="m",C322="y"),NOT(D323="m"),NOT(C323="y"),NOT(D320="m"),NOT(C320="y"),NOT(D321="y"),NOT(C321="y")),H322,0)</f>
        <v>0</v>
      </c>
      <c r="K322" s="39">
        <f>IF(AND(J322&gt;0,C322="y"),H322,0)</f>
        <v>0</v>
      </c>
      <c r="L322" s="1129"/>
      <c r="M322" s="1131"/>
      <c r="N322" s="208"/>
      <c r="O322" s="208"/>
      <c r="P322" s="208"/>
      <c r="Q322" s="208"/>
      <c r="R322" s="208"/>
      <c r="S322" s="208"/>
      <c r="T322" s="208"/>
    </row>
    <row r="323" spans="1:20" s="725" customFormat="1" ht="14.25" customHeight="1" thickBot="1" x14ac:dyDescent="0.35">
      <c r="A323" s="326"/>
      <c r="B323" s="327"/>
      <c r="C323" s="379"/>
      <c r="D323" s="329"/>
      <c r="E323" s="1015" t="s">
        <v>83</v>
      </c>
      <c r="F323" s="1111" t="s">
        <v>562</v>
      </c>
      <c r="G323" s="1112"/>
      <c r="H323" s="69">
        <v>7</v>
      </c>
      <c r="I323" s="630">
        <f>IF(AND(OR(A323="x", A323="p"),NOT(OR(B323="n", A322="x", A322="p", A320="x", A320="p",A321="x",A321="p"))),H323,0)</f>
        <v>0</v>
      </c>
      <c r="J323" s="638">
        <f>IF(AND(OR(D323="m",C323="y"),NOT(D320="m"),NOT(C320="y"),NOT(D321="m"),NOT(C321="y"),NOT(D322="y"),NOT(C322="y")),H323,0)</f>
        <v>0</v>
      </c>
      <c r="K323" s="756"/>
      <c r="L323" s="1130"/>
      <c r="M323" s="1132"/>
      <c r="N323" s="724"/>
      <c r="O323" s="724"/>
      <c r="P323" s="724"/>
      <c r="Q323" s="724"/>
      <c r="R323" s="724"/>
      <c r="S323" s="724"/>
      <c r="T323" s="724"/>
    </row>
    <row r="324" spans="1:20" s="497" customFormat="1" ht="14.5" thickBot="1" x14ac:dyDescent="0.35">
      <c r="A324" s="839"/>
      <c r="B324" s="840"/>
      <c r="C324" s="840"/>
      <c r="D324" s="841"/>
      <c r="E324" s="947">
        <v>23</v>
      </c>
      <c r="F324" s="1329" t="s">
        <v>438</v>
      </c>
      <c r="G324" s="1330"/>
      <c r="H324" s="525"/>
      <c r="I324" s="143"/>
      <c r="J324" s="144"/>
      <c r="K324" s="527"/>
      <c r="L324" s="1027" t="s">
        <v>60</v>
      </c>
      <c r="M324" s="1088"/>
      <c r="N324" s="499"/>
      <c r="O324" s="1021"/>
      <c r="P324" s="1022"/>
      <c r="Q324" s="1022"/>
      <c r="R324" s="1022"/>
      <c r="S324" s="1022"/>
      <c r="T324" s="496"/>
    </row>
    <row r="325" spans="1:20" s="497" customFormat="1" ht="35" customHeight="1" x14ac:dyDescent="0.3">
      <c r="A325" s="509"/>
      <c r="B325" s="510"/>
      <c r="C325" s="511"/>
      <c r="D325" s="512"/>
      <c r="E325" s="513"/>
      <c r="F325" s="822"/>
      <c r="G325" s="887" t="s">
        <v>525</v>
      </c>
      <c r="H325" s="502" t="s">
        <v>132</v>
      </c>
      <c r="I325" s="681">
        <f>IF(AND(A325="p",NOT(B325="n"),NOT(F325=""),F325&gt;14),MIN(10,ROUNDDOWN(((F325-14)),0)),0)</f>
        <v>0</v>
      </c>
      <c r="J325" s="682">
        <f>IF(AND(OR(C325="y",D325="m"),NOT(D325="N"),F325&gt;14),MIN(38,ROUNDDOWN(((F325-14)),0)),0)</f>
        <v>0</v>
      </c>
      <c r="K325" s="39">
        <f>IF(AND(J325&gt;0,C325="y"),J325,0)</f>
        <v>0</v>
      </c>
      <c r="L325" s="1065"/>
      <c r="M325" s="1089"/>
      <c r="N325" s="496"/>
      <c r="O325" s="209" t="s">
        <v>239</v>
      </c>
      <c r="P325" s="208"/>
      <c r="Q325" s="208"/>
      <c r="R325" s="208"/>
      <c r="S325" s="496"/>
      <c r="T325" s="496"/>
    </row>
    <row r="326" spans="1:20" s="497" customFormat="1" ht="25" customHeight="1" x14ac:dyDescent="0.3">
      <c r="A326" s="520"/>
      <c r="B326" s="521"/>
      <c r="C326" s="522"/>
      <c r="D326" s="523"/>
      <c r="E326" s="524"/>
      <c r="F326" s="888"/>
      <c r="G326" s="889" t="s">
        <v>526</v>
      </c>
      <c r="H326" s="526" t="s">
        <v>527</v>
      </c>
      <c r="I326" s="683">
        <f>IF(AND(A326="p",NOT(B326="n"),NOT(F326=""),F326&gt;13),MIN(14,ROUND(((F326*0.4923)+0.9077),0)),0)</f>
        <v>0</v>
      </c>
      <c r="J326" s="684">
        <f>IF(AND(OR(C326="y",D326="m"),NOT(F326=""),F326&gt;13),MIN(14,ROUNDDOWN(((F326-3)/2),0)),0)</f>
        <v>0</v>
      </c>
      <c r="K326" s="39">
        <f>IF(AND(J326&gt;0,C326="y"),J326,0)</f>
        <v>0</v>
      </c>
      <c r="L326" s="1066"/>
      <c r="M326" s="1090"/>
      <c r="N326" s="496"/>
      <c r="O326" s="1021" t="str">
        <f>HYPERLINK("https://www.energy.gov/energysaver/heat-and-cool/heat-pump-systems/geothermal-heat-pumps","Geothermal Heat Pumps")</f>
        <v>Geothermal Heat Pumps</v>
      </c>
      <c r="P326" s="1022"/>
      <c r="Q326" s="1022"/>
      <c r="R326" s="1022"/>
      <c r="S326" s="496"/>
      <c r="T326" s="496"/>
    </row>
    <row r="327" spans="1:20" s="251" customFormat="1" ht="31" customHeight="1" thickBot="1" x14ac:dyDescent="0.35">
      <c r="A327" s="514"/>
      <c r="B327" s="515"/>
      <c r="C327" s="516"/>
      <c r="D327" s="517"/>
      <c r="E327" s="518">
        <v>24</v>
      </c>
      <c r="F327" s="1102" t="s">
        <v>127</v>
      </c>
      <c r="G327" s="1103"/>
      <c r="H327" s="519" t="s">
        <v>128</v>
      </c>
      <c r="I327" s="40"/>
      <c r="J327" s="685">
        <f>IF(AND(OR(D327="m", C327="y"), H327&lt;=7),H327,0)</f>
        <v>0</v>
      </c>
      <c r="K327" s="39">
        <f t="shared" ref="K327" si="16">IF(AND(J327&gt;0,C327="y"),H327,0)</f>
        <v>0</v>
      </c>
      <c r="L327" s="75" t="s">
        <v>153</v>
      </c>
      <c r="M327" s="345"/>
      <c r="N327" s="208"/>
      <c r="S327" s="208"/>
      <c r="T327" s="208"/>
    </row>
    <row r="328" spans="1:20" s="251" customFormat="1" ht="14.25" customHeight="1" thickTop="1" thickBot="1" x14ac:dyDescent="0.35">
      <c r="A328" s="1041" t="s">
        <v>246</v>
      </c>
      <c r="B328" s="1042"/>
      <c r="C328" s="1042"/>
      <c r="D328" s="1042"/>
      <c r="E328" s="1042"/>
      <c r="F328" s="1042"/>
      <c r="G328" s="1042"/>
      <c r="H328" s="1043"/>
      <c r="I328" s="644">
        <f>SUM(I282:I327)</f>
        <v>0</v>
      </c>
      <c r="J328" s="644">
        <f>SUM(J282:J327)</f>
        <v>0</v>
      </c>
      <c r="K328" s="61">
        <f>SUM(K282:K327)</f>
        <v>0</v>
      </c>
      <c r="L328" s="118"/>
      <c r="M328" s="119"/>
      <c r="N328" s="208"/>
      <c r="O328" s="208"/>
      <c r="P328" s="208"/>
      <c r="Q328" s="208"/>
      <c r="R328" s="208"/>
      <c r="S328" s="208"/>
      <c r="T328" s="208"/>
    </row>
    <row r="329" spans="1:20" s="425" customFormat="1" ht="35.15" customHeight="1" thickTop="1" thickBot="1" x14ac:dyDescent="0.35">
      <c r="A329" s="1146" t="s">
        <v>40</v>
      </c>
      <c r="B329" s="1147"/>
      <c r="C329" s="1147"/>
      <c r="D329" s="1147"/>
      <c r="E329" s="1147"/>
      <c r="F329" s="1147"/>
      <c r="G329" s="1147"/>
      <c r="H329" s="1147"/>
      <c r="I329" s="1147"/>
      <c r="J329" s="1147"/>
      <c r="K329" s="1147"/>
      <c r="L329" s="1147"/>
      <c r="M329" s="1147"/>
      <c r="N329" s="424"/>
      <c r="O329" s="282"/>
      <c r="P329" s="282"/>
      <c r="Q329" s="282"/>
      <c r="R329" s="282"/>
      <c r="S329" s="282"/>
      <c r="T329" s="282"/>
    </row>
    <row r="330" spans="1:20" s="251" customFormat="1" ht="12.75" customHeight="1" thickBot="1" x14ac:dyDescent="0.35">
      <c r="A330" s="20"/>
      <c r="B330" s="21"/>
      <c r="C330" s="22"/>
      <c r="D330" s="23"/>
      <c r="E330" s="1322" t="s">
        <v>662</v>
      </c>
      <c r="F330" s="1323"/>
      <c r="G330" s="1324"/>
      <c r="H330" s="1280" t="s">
        <v>69</v>
      </c>
      <c r="I330" s="1133" t="s">
        <v>70</v>
      </c>
      <c r="J330" s="1134"/>
      <c r="K330" s="557"/>
      <c r="L330" s="1080" t="s">
        <v>71</v>
      </c>
      <c r="M330" s="1082" t="s">
        <v>129</v>
      </c>
      <c r="N330" s="3"/>
      <c r="O330" s="206"/>
      <c r="P330" s="206"/>
      <c r="Q330" s="206"/>
      <c r="R330" s="206"/>
      <c r="S330" s="206"/>
      <c r="T330" s="206"/>
    </row>
    <row r="331" spans="1:20" s="251" customFormat="1" ht="14.25" customHeight="1" thickBot="1" x14ac:dyDescent="0.35">
      <c r="A331" s="25" t="s">
        <v>0</v>
      </c>
      <c r="B331" s="26" t="s">
        <v>1</v>
      </c>
      <c r="C331" s="27" t="s">
        <v>73</v>
      </c>
      <c r="D331" s="28" t="s">
        <v>74</v>
      </c>
      <c r="E331" s="1325"/>
      <c r="F331" s="1326"/>
      <c r="G331" s="1327"/>
      <c r="H331" s="1281"/>
      <c r="I331" s="627" t="s">
        <v>75</v>
      </c>
      <c r="J331" s="628" t="s">
        <v>76</v>
      </c>
      <c r="K331" s="558"/>
      <c r="L331" s="1081"/>
      <c r="M331" s="1083"/>
      <c r="N331" s="3"/>
      <c r="O331" s="208"/>
      <c r="P331" s="206"/>
      <c r="Q331" s="206"/>
      <c r="R331" s="206"/>
      <c r="S331" s="206"/>
      <c r="T331" s="206"/>
    </row>
    <row r="332" spans="1:20" s="430" customFormat="1" ht="14.25" customHeight="1" thickBot="1" x14ac:dyDescent="0.35">
      <c r="A332" s="445"/>
      <c r="B332" s="30"/>
      <c r="C332" s="30"/>
      <c r="D332" s="454" t="s">
        <v>247</v>
      </c>
      <c r="E332" s="120"/>
      <c r="F332" s="121"/>
      <c r="G332" s="122"/>
      <c r="H332" s="66"/>
      <c r="I332" s="561"/>
      <c r="J332" s="673"/>
      <c r="K332" s="68"/>
      <c r="L332" s="1084"/>
      <c r="M332" s="1085"/>
      <c r="N332" s="8"/>
      <c r="O332" s="8"/>
      <c r="P332" s="8"/>
      <c r="Q332" s="8"/>
      <c r="R332" s="8"/>
      <c r="S332" s="8"/>
      <c r="T332" s="8"/>
    </row>
    <row r="333" spans="1:20" s="251" customFormat="1" ht="13.5" customHeight="1" x14ac:dyDescent="0.3">
      <c r="A333" s="934"/>
      <c r="B333" s="935"/>
      <c r="C333" s="935"/>
      <c r="D333" s="936"/>
      <c r="E333" s="82">
        <v>1</v>
      </c>
      <c r="F333" s="1254" t="s">
        <v>422</v>
      </c>
      <c r="G333" s="1255"/>
      <c r="H333" s="218"/>
      <c r="I333" s="143"/>
      <c r="J333" s="144"/>
      <c r="K333" s="39"/>
      <c r="L333" s="1027" t="s">
        <v>248</v>
      </c>
      <c r="M333" s="1092"/>
      <c r="N333" s="208"/>
      <c r="O333" s="208"/>
      <c r="P333" s="208"/>
      <c r="Q333" s="208"/>
      <c r="R333" s="208"/>
      <c r="S333" s="208"/>
      <c r="T333" s="208"/>
    </row>
    <row r="334" spans="1:20" s="251" customFormat="1" ht="14.25" customHeight="1" x14ac:dyDescent="0.3">
      <c r="A334" s="294"/>
      <c r="B334" s="294"/>
      <c r="C334" s="391"/>
      <c r="D334" s="392"/>
      <c r="E334" s="48" t="s">
        <v>79</v>
      </c>
      <c r="F334" s="1076" t="s">
        <v>249</v>
      </c>
      <c r="G334" s="1036"/>
      <c r="H334" s="137">
        <v>1</v>
      </c>
      <c r="I334" s="630">
        <f>IF(AND(OR(A334="x", A334="p"),NOT(OR(B334="n", A335="x", A335="p"))),H334,0)</f>
        <v>0</v>
      </c>
      <c r="J334" s="638">
        <f>IF(AND(OR(D334="m", C334="y"),NOT(D335="m"),NOT(C335="y")),H334,0)</f>
        <v>0</v>
      </c>
      <c r="K334" s="39">
        <f>IF(AND(J334&gt;0,C334="y"),H334,0)</f>
        <v>0</v>
      </c>
      <c r="L334" s="1028"/>
      <c r="M334" s="1031"/>
      <c r="N334" s="208"/>
      <c r="O334" s="1021" t="s">
        <v>250</v>
      </c>
      <c r="P334" s="1022"/>
      <c r="Q334" s="1022"/>
      <c r="R334" s="1022"/>
      <c r="S334" s="208"/>
      <c r="T334" s="208"/>
    </row>
    <row r="335" spans="1:20" s="251" customFormat="1" ht="14.25" customHeight="1" x14ac:dyDescent="0.3">
      <c r="A335" s="305"/>
      <c r="B335" s="306"/>
      <c r="C335" s="307"/>
      <c r="D335" s="308"/>
      <c r="E335" s="117" t="s">
        <v>80</v>
      </c>
      <c r="F335" s="1023" t="s">
        <v>251</v>
      </c>
      <c r="G335" s="1024"/>
      <c r="H335" s="46">
        <v>3</v>
      </c>
      <c r="I335" s="639">
        <f>IF(AND(OR(A335="x", A335="p"),NOT(OR(B335="n", A334="x", A334="p"))),H335,0)</f>
        <v>0</v>
      </c>
      <c r="J335" s="640">
        <f>IF(AND(OR(D335="m", C335="y"),NOT(D334="m"),NOT(C334="y")),H335,0)</f>
        <v>0</v>
      </c>
      <c r="K335" s="39">
        <f>IF(AND(J335&gt;0,C335="y"),H335,0)</f>
        <v>0</v>
      </c>
      <c r="L335" s="1028"/>
      <c r="M335" s="1091"/>
      <c r="N335" s="208"/>
      <c r="O335" s="208"/>
      <c r="P335" s="208"/>
      <c r="Q335" s="208"/>
      <c r="R335" s="208"/>
      <c r="S335" s="208"/>
      <c r="T335" s="208"/>
    </row>
    <row r="336" spans="1:20" s="251" customFormat="1" ht="15" customHeight="1" x14ac:dyDescent="0.3">
      <c r="A336" s="1003"/>
      <c r="B336" s="1004"/>
      <c r="C336" s="1005"/>
      <c r="D336" s="1006"/>
      <c r="E336" s="792">
        <v>2</v>
      </c>
      <c r="F336" s="790" t="s">
        <v>594</v>
      </c>
      <c r="G336" s="791"/>
      <c r="H336" s="981"/>
      <c r="I336" s="980"/>
      <c r="J336" s="41">
        <f>IF(OR(D336="m", C336="y"),H336,0)</f>
        <v>0</v>
      </c>
      <c r="K336" s="39">
        <f>IF(AND(J336&gt;0,C336="y"),H336,0)</f>
        <v>0</v>
      </c>
      <c r="L336" s="1027" t="s">
        <v>664</v>
      </c>
      <c r="M336" s="1030"/>
      <c r="N336" s="208"/>
      <c r="O336" s="1075" t="s">
        <v>254</v>
      </c>
      <c r="P336" s="1022"/>
      <c r="Q336" s="1022"/>
      <c r="R336" s="1022"/>
      <c r="S336" s="206"/>
      <c r="T336" s="206"/>
    </row>
    <row r="337" spans="1:20" s="733" customFormat="1" ht="15" customHeight="1" x14ac:dyDescent="0.3">
      <c r="A337" s="293"/>
      <c r="B337" s="294"/>
      <c r="C337" s="941"/>
      <c r="D337" s="296"/>
      <c r="E337" s="48" t="s">
        <v>79</v>
      </c>
      <c r="F337" s="1039" t="s">
        <v>252</v>
      </c>
      <c r="G337" s="1336"/>
      <c r="H337" s="147">
        <v>2</v>
      </c>
      <c r="I337" s="40">
        <f>IF(AND(OR(A337="x", A337="p"),NOT(OR(B337="n", A338="x", A338="p"))),H337,0)</f>
        <v>0</v>
      </c>
      <c r="J337" s="41">
        <f>IF(AND(OR(D337="m", C337="y"),NOT(D338="m"),NOT(C338="y")),H337,0)</f>
        <v>0</v>
      </c>
      <c r="K337" s="747"/>
      <c r="L337" s="1065"/>
      <c r="M337" s="1067"/>
      <c r="N337" s="735"/>
      <c r="O337" s="740"/>
      <c r="S337" s="742"/>
      <c r="T337" s="742"/>
    </row>
    <row r="338" spans="1:20" s="733" customFormat="1" ht="15" customHeight="1" x14ac:dyDescent="0.3">
      <c r="A338" s="326"/>
      <c r="B338" s="327"/>
      <c r="C338" s="942"/>
      <c r="D338" s="329"/>
      <c r="E338" s="117" t="s">
        <v>80</v>
      </c>
      <c r="F338" s="1061" t="s">
        <v>684</v>
      </c>
      <c r="G338" s="1062"/>
      <c r="H338" s="982">
        <v>3</v>
      </c>
      <c r="I338" s="40">
        <f>IF(AND(OR(A338="x", A338="p"),NOT(OR(B338="n", A337="x", A337="p"))),H338,0)</f>
        <v>0</v>
      </c>
      <c r="J338" s="41">
        <f>IF(AND(OR(D338="m", C338="y"),NOT(D337="m"),NOT(C337="y")),H338,0)</f>
        <v>0</v>
      </c>
      <c r="K338" s="747"/>
      <c r="L338" s="1066"/>
      <c r="M338" s="1068"/>
      <c r="N338" s="735"/>
      <c r="O338" s="740"/>
      <c r="S338" s="742"/>
      <c r="T338" s="742"/>
    </row>
    <row r="339" spans="1:20" s="251" customFormat="1" ht="15" customHeight="1" x14ac:dyDescent="0.3">
      <c r="A339" s="301"/>
      <c r="B339" s="302"/>
      <c r="C339" s="303"/>
      <c r="D339" s="304"/>
      <c r="E339" s="90">
        <v>3</v>
      </c>
      <c r="F339" s="1073" t="s">
        <v>595</v>
      </c>
      <c r="G339" s="1026"/>
      <c r="H339" s="127">
        <v>1</v>
      </c>
      <c r="I339" s="40">
        <f>IF(AND(OR(A339="x", A339="p"),NOT(B339="n")),H339,0)</f>
        <v>0</v>
      </c>
      <c r="J339" s="41">
        <f>IF(OR(D339="m", C339="y"),H339,0)</f>
        <v>0</v>
      </c>
      <c r="K339" s="39">
        <f>IF(AND(J339&gt;0,C339="y"),H339,0)</f>
        <v>0</v>
      </c>
      <c r="L339" s="18" t="s">
        <v>253</v>
      </c>
      <c r="M339" s="277"/>
      <c r="N339" s="208"/>
      <c r="O339" s="1050"/>
      <c r="P339" s="1022"/>
      <c r="Q339" s="1022"/>
      <c r="R339" s="206"/>
      <c r="S339" s="206"/>
      <c r="T339" s="206"/>
    </row>
    <row r="340" spans="1:20" s="251" customFormat="1" ht="15" customHeight="1" x14ac:dyDescent="0.3">
      <c r="A340" s="842"/>
      <c r="B340" s="884"/>
      <c r="C340" s="884"/>
      <c r="D340" s="844"/>
      <c r="E340" s="82">
        <v>4</v>
      </c>
      <c r="F340" s="1328" t="s">
        <v>255</v>
      </c>
      <c r="G340" s="1047"/>
      <c r="H340" s="218"/>
      <c r="I340" s="143"/>
      <c r="J340" s="144"/>
      <c r="K340" s="39"/>
      <c r="L340" s="1027" t="s">
        <v>248</v>
      </c>
      <c r="M340" s="1056"/>
      <c r="N340" s="206"/>
      <c r="O340" s="206"/>
      <c r="P340" s="208"/>
      <c r="Q340" s="208"/>
      <c r="R340" s="208"/>
      <c r="S340" s="208"/>
      <c r="T340" s="208"/>
    </row>
    <row r="341" spans="1:20" s="251" customFormat="1" ht="15" customHeight="1" x14ac:dyDescent="0.3">
      <c r="A341" s="322"/>
      <c r="B341" s="323"/>
      <c r="C341" s="324"/>
      <c r="D341" s="325"/>
      <c r="E341" s="138" t="s">
        <v>79</v>
      </c>
      <c r="F341" s="1039" t="s">
        <v>256</v>
      </c>
      <c r="G341" s="1040"/>
      <c r="H341" s="59">
        <v>2</v>
      </c>
      <c r="I341" s="630">
        <f>IF(AND(OR(A341="x", A341="p"),NOT(OR(B341="n", A342="x", A342="p", A343="x", A343="p", A344="x", A344="p"))),H341,0)</f>
        <v>0</v>
      </c>
      <c r="J341" s="669">
        <f>IF(AND(OR(D341="m", C341="y"),NOT(D342="m"),NOT(C342="y"),NOT(D343="m"),NOT(C343="y"),NOT(D344="m"),NOT(C344="y")),H341,0)</f>
        <v>0</v>
      </c>
      <c r="K341" s="39">
        <f>IF(AND(J341&gt;0,C341="y"),H341,0)</f>
        <v>0</v>
      </c>
      <c r="L341" s="1028"/>
      <c r="M341" s="1031"/>
      <c r="N341" s="208"/>
      <c r="O341" s="1021" t="s">
        <v>257</v>
      </c>
      <c r="P341" s="1022"/>
      <c r="Q341" s="1022"/>
      <c r="R341" s="1022"/>
      <c r="S341" s="208"/>
      <c r="T341" s="208"/>
    </row>
    <row r="342" spans="1:20" s="251" customFormat="1" ht="15" customHeight="1" x14ac:dyDescent="0.3">
      <c r="A342" s="293"/>
      <c r="B342" s="294"/>
      <c r="C342" s="295"/>
      <c r="D342" s="296"/>
      <c r="E342" s="138" t="s">
        <v>80</v>
      </c>
      <c r="F342" s="1039" t="s">
        <v>258</v>
      </c>
      <c r="G342" s="1040"/>
      <c r="H342" s="46">
        <v>3</v>
      </c>
      <c r="I342" s="630">
        <f>IF(AND(OR(A342="x", A342="p"),NOT(OR(B342="n", A341="x", A341="p", A343="x", A343="p", A344="x", A344="p"))),H342,0)</f>
        <v>0</v>
      </c>
      <c r="J342" s="638">
        <f>IF(AND(OR(D342="m", C342="y"),NOT(D343="m"),NOT(C343="y"),NOT(D344="m"),NOT(C344="y"),NOT(D341="m"),NOT(C341="y")),H342,0)</f>
        <v>0</v>
      </c>
      <c r="K342" s="39">
        <f>IF(AND(J342&gt;0,C342="y"),H342,0)</f>
        <v>0</v>
      </c>
      <c r="L342" s="1028"/>
      <c r="M342" s="1031"/>
      <c r="N342" s="208"/>
      <c r="O342" s="1021" t="s">
        <v>259</v>
      </c>
      <c r="P342" s="1022"/>
      <c r="Q342" s="1022"/>
      <c r="R342" s="1022"/>
      <c r="S342" s="208"/>
      <c r="T342" s="208"/>
    </row>
    <row r="343" spans="1:20" s="251" customFormat="1" ht="15" customHeight="1" x14ac:dyDescent="0.3">
      <c r="A343" s="293"/>
      <c r="B343" s="294"/>
      <c r="C343" s="295"/>
      <c r="D343" s="296"/>
      <c r="E343" s="138" t="s">
        <v>82</v>
      </c>
      <c r="F343" s="1142" t="s">
        <v>260</v>
      </c>
      <c r="G343" s="1040"/>
      <c r="H343" s="46">
        <v>4</v>
      </c>
      <c r="I343" s="630">
        <f>IF(AND(OR(A343="x", A343="p"),NOT(OR(B343="n", A341="x", A341="p", A342="x", A342="p", A344="x", A344="p"))),H343,0)</f>
        <v>0</v>
      </c>
      <c r="J343" s="638">
        <f>IF(AND(OR(D343="m", C343="y"),NOT(D341="m"),NOT(C341="y"),NOT(D342="m"),NOT(C342="y"),NOT(D344="m"),NOT(C344="y")),H343,0)</f>
        <v>0</v>
      </c>
      <c r="K343" s="39">
        <f>IF(AND(J343&gt;0,C343="y"),H343,0)</f>
        <v>0</v>
      </c>
      <c r="L343" s="1028"/>
      <c r="M343" s="1031"/>
      <c r="N343" s="208"/>
      <c r="O343" s="1045"/>
      <c r="P343" s="1022"/>
      <c r="Q343" s="1022"/>
      <c r="R343" s="1022"/>
      <c r="S343" s="208"/>
      <c r="T343" s="208"/>
    </row>
    <row r="344" spans="1:20" s="251" customFormat="1" ht="15" customHeight="1" x14ac:dyDescent="0.3">
      <c r="A344" s="293"/>
      <c r="B344" s="294"/>
      <c r="C344" s="295"/>
      <c r="D344" s="296"/>
      <c r="E344" s="138" t="s">
        <v>83</v>
      </c>
      <c r="F344" s="1151" t="s">
        <v>261</v>
      </c>
      <c r="G344" s="1040"/>
      <c r="H344" s="59">
        <v>5</v>
      </c>
      <c r="I344" s="630">
        <f>IF(AND(OR(A344="x", A344="p"),NOT(OR(B344="n", A341="x", A341="p", A342="x", A342="p", A343="x", A343="p"))),H344,0)</f>
        <v>0</v>
      </c>
      <c r="J344" s="638">
        <f>IF(AND(OR(D344="m", C344="y"),NOT(D341="m"),NOT(C341="y"),NOT(D342="m"),NOT(C342="y"),NOT(D343="m"),NOT(C343="y")),H344,0)</f>
        <v>0</v>
      </c>
      <c r="K344" s="39">
        <f>IF(AND(J344&gt;0,C344="y"),H344,0)</f>
        <v>0</v>
      </c>
      <c r="L344" s="1028"/>
      <c r="M344" s="1031"/>
      <c r="N344" s="208"/>
      <c r="O344" s="208"/>
      <c r="P344" s="208"/>
      <c r="Q344" s="208"/>
      <c r="R344" s="208"/>
      <c r="S344" s="208"/>
      <c r="T344" s="208"/>
    </row>
    <row r="345" spans="1:20" s="251" customFormat="1" ht="14.25" customHeight="1" x14ac:dyDescent="0.3">
      <c r="A345" s="305"/>
      <c r="B345" s="306"/>
      <c r="C345" s="307"/>
      <c r="D345" s="308"/>
      <c r="E345" s="139" t="s">
        <v>137</v>
      </c>
      <c r="F345" s="1152" t="s">
        <v>262</v>
      </c>
      <c r="G345" s="1024"/>
      <c r="H345" s="69">
        <v>6</v>
      </c>
      <c r="I345" s="680">
        <f>IF(AND(OR(A345="x", A345="p"),NOT(OR(B345="n", A342="x", A342="p", A343="x", A343="p", A344="x", A344="p"))),H345,0)</f>
        <v>0</v>
      </c>
      <c r="J345" s="635">
        <f>IF(AND(OR(D345="m", C345="y"),NOT(D342="m"),NOT(C342="y"),NOT(D343="m"),NOT(C343="y"),NOT(D344="m"),NOT(C344="y")),H345,0)</f>
        <v>0</v>
      </c>
      <c r="K345" s="39">
        <f>IF(AND(J345&gt;0,C345="y"),H345,0)</f>
        <v>0</v>
      </c>
      <c r="L345" s="1034"/>
      <c r="M345" s="1091"/>
      <c r="N345" s="208"/>
      <c r="O345" s="208"/>
      <c r="P345" s="208"/>
      <c r="Q345" s="208"/>
      <c r="R345" s="208"/>
      <c r="S345" s="208"/>
      <c r="T345" s="208"/>
    </row>
    <row r="346" spans="1:20" s="251" customFormat="1" ht="14.25" customHeight="1" x14ac:dyDescent="0.3">
      <c r="A346" s="842"/>
      <c r="B346" s="884"/>
      <c r="C346" s="884"/>
      <c r="D346" s="844"/>
      <c r="E346" s="82">
        <v>5</v>
      </c>
      <c r="F346" s="1250" t="s">
        <v>263</v>
      </c>
      <c r="G346" s="1047"/>
      <c r="H346" s="218"/>
      <c r="I346" s="143"/>
      <c r="J346" s="144"/>
      <c r="K346" s="39"/>
      <c r="L346" s="1027" t="s">
        <v>60</v>
      </c>
      <c r="M346" s="1030"/>
      <c r="N346" s="208"/>
      <c r="O346" s="1045"/>
      <c r="P346" s="1022"/>
      <c r="Q346" s="1022"/>
      <c r="R346" s="1022"/>
      <c r="S346" s="208"/>
      <c r="T346" s="208"/>
    </row>
    <row r="347" spans="1:20" s="251" customFormat="1" ht="15" customHeight="1" x14ac:dyDescent="0.3">
      <c r="A347" s="322"/>
      <c r="B347" s="323"/>
      <c r="C347" s="324"/>
      <c r="D347" s="325"/>
      <c r="E347" s="48" t="s">
        <v>79</v>
      </c>
      <c r="F347" s="1039" t="s">
        <v>264</v>
      </c>
      <c r="G347" s="1040"/>
      <c r="H347" s="46">
        <v>2</v>
      </c>
      <c r="I347" s="630">
        <f>IF(AND(OR(A347="x", A347="p"),NOT(OR(B347="n", A348="x", A348="p"))),H347,0)</f>
        <v>0</v>
      </c>
      <c r="J347" s="638">
        <f>IF(AND(OR(D347="m", C347="y"),NOT(D348="m"),NOT(C348="y")),H347,0)</f>
        <v>0</v>
      </c>
      <c r="K347" s="39">
        <f>IF(AND(J347&gt;0,C347="y"),H347,0)</f>
        <v>0</v>
      </c>
      <c r="L347" s="1028"/>
      <c r="M347" s="1031"/>
      <c r="N347" s="208"/>
      <c r="O347" s="208"/>
      <c r="P347" s="208"/>
      <c r="Q347" s="208"/>
      <c r="R347" s="208"/>
      <c r="S347" s="208"/>
      <c r="T347" s="208"/>
    </row>
    <row r="348" spans="1:20" s="251" customFormat="1" ht="14.25" customHeight="1" x14ac:dyDescent="0.3">
      <c r="A348" s="326"/>
      <c r="B348" s="327"/>
      <c r="C348" s="328"/>
      <c r="D348" s="329"/>
      <c r="E348" s="117" t="s">
        <v>80</v>
      </c>
      <c r="F348" s="1150" t="s">
        <v>265</v>
      </c>
      <c r="G348" s="1024"/>
      <c r="H348" s="69">
        <v>5</v>
      </c>
      <c r="I348" s="639">
        <f>IF(AND(OR(A348="x", A348="p"),NOT(OR(B348="n", A347="x", A347="p"))),H348,0)</f>
        <v>0</v>
      </c>
      <c r="J348" s="640">
        <f>IF(AND(OR(D348="m", C348="y"),NOT(D347="m"),NOT(C347="y")),H348,0)</f>
        <v>0</v>
      </c>
      <c r="K348" s="39">
        <f>IF(AND(J348&gt;0,C348="y"),H348,0)</f>
        <v>0</v>
      </c>
      <c r="L348" s="1034"/>
      <c r="M348" s="1091"/>
      <c r="N348" s="208"/>
      <c r="O348" s="208"/>
      <c r="P348" s="208"/>
      <c r="Q348" s="208"/>
      <c r="R348" s="208"/>
      <c r="S348" s="208"/>
      <c r="T348" s="208"/>
    </row>
    <row r="349" spans="1:20" s="251" customFormat="1" ht="38.25" customHeight="1" x14ac:dyDescent="0.3">
      <c r="A349" s="322"/>
      <c r="B349" s="323"/>
      <c r="C349" s="324"/>
      <c r="D349" s="325"/>
      <c r="E349" s="140">
        <v>6</v>
      </c>
      <c r="F349" s="1155" t="s">
        <v>266</v>
      </c>
      <c r="G349" s="1156"/>
      <c r="H349" s="220">
        <v>4</v>
      </c>
      <c r="I349" s="40">
        <f>IF(AND(OR(A349="x", A349="p"),NOT(B349="n")),H349,0)</f>
        <v>0</v>
      </c>
      <c r="J349" s="41">
        <f>IF(OR(D349="m", C349="y"),H349,0)</f>
        <v>0</v>
      </c>
      <c r="K349" s="39">
        <f>IF(AND(J349&gt;0,C349="y"),H349,0)</f>
        <v>0</v>
      </c>
      <c r="L349" s="210" t="s">
        <v>60</v>
      </c>
      <c r="M349" s="703"/>
      <c r="N349" s="208"/>
      <c r="O349" s="1021" t="str">
        <f>HYPERLINK("https://www.epa.gov/sites/production/files/2017-01/documents/ws-homes-hot-water-distribution-guide.pdf","EPA: Efficient Hot Water Delivery")</f>
        <v>EPA: Efficient Hot Water Delivery</v>
      </c>
      <c r="P349" s="1022"/>
      <c r="Q349" s="1022"/>
      <c r="R349" s="1022"/>
      <c r="S349" s="208"/>
      <c r="T349" s="208"/>
    </row>
    <row r="350" spans="1:20" s="251" customFormat="1" ht="22.5" customHeight="1" x14ac:dyDescent="0.3">
      <c r="A350" s="301"/>
      <c r="B350" s="302"/>
      <c r="C350" s="303"/>
      <c r="D350" s="304"/>
      <c r="E350" s="141">
        <v>7</v>
      </c>
      <c r="F350" s="1025" t="s">
        <v>723</v>
      </c>
      <c r="G350" s="1026"/>
      <c r="H350" s="127">
        <v>2</v>
      </c>
      <c r="I350" s="40">
        <f>IF(AND(OR(A350="x", A350="p"),NOT(B350="n")),H350,0)</f>
        <v>0</v>
      </c>
      <c r="J350" s="41">
        <f>IF(OR(D350="m", C350="y"),H350,0)</f>
        <v>0</v>
      </c>
      <c r="K350" s="39">
        <f>IF(AND(J350&gt;0,C350="y"),H350,0)</f>
        <v>0</v>
      </c>
      <c r="L350" s="18" t="s">
        <v>253</v>
      </c>
      <c r="M350" s="277"/>
      <c r="N350" s="208"/>
      <c r="O350" s="206"/>
      <c r="P350" s="206"/>
      <c r="Q350" s="206"/>
      <c r="R350" s="206"/>
      <c r="S350" s="206"/>
      <c r="T350" s="206"/>
    </row>
    <row r="351" spans="1:20" s="251" customFormat="1" ht="14.25" customHeight="1" x14ac:dyDescent="0.3">
      <c r="A351" s="842"/>
      <c r="B351" s="884"/>
      <c r="C351" s="884"/>
      <c r="D351" s="844"/>
      <c r="E351" s="142">
        <v>8</v>
      </c>
      <c r="F351" s="1335" t="s">
        <v>721</v>
      </c>
      <c r="G351" s="1049"/>
      <c r="H351" s="221"/>
      <c r="I351" s="143"/>
      <c r="J351" s="144"/>
      <c r="K351" s="39"/>
      <c r="L351" s="1086" t="s">
        <v>60</v>
      </c>
      <c r="M351" s="1030"/>
      <c r="N351" s="206"/>
      <c r="O351" s="206"/>
      <c r="P351" s="206"/>
      <c r="Q351" s="206"/>
      <c r="R351" s="206"/>
      <c r="S351" s="206"/>
      <c r="T351" s="206"/>
    </row>
    <row r="352" spans="1:20" s="251" customFormat="1" ht="14.25" customHeight="1" x14ac:dyDescent="0.3">
      <c r="A352" s="322"/>
      <c r="B352" s="323"/>
      <c r="C352" s="324"/>
      <c r="D352" s="325"/>
      <c r="E352" s="190" t="s">
        <v>79</v>
      </c>
      <c r="F352" s="1039" t="s">
        <v>516</v>
      </c>
      <c r="G352" s="1040"/>
      <c r="H352" s="147">
        <v>3</v>
      </c>
      <c r="I352" s="630">
        <f>IF(AND(OR(A352="x", A352="p"),NOT(OR(B352="n", A353="x", A353="p"))),H352,0)</f>
        <v>0</v>
      </c>
      <c r="J352" s="638">
        <f>IF(AND(OR(D352="m", C352="y"),NOT(D353="m"),NOT(C353="y")),H352,0)</f>
        <v>0</v>
      </c>
      <c r="K352" s="39">
        <f>IF(AND(J352&gt;0,C352="y"),H352,0)</f>
        <v>0</v>
      </c>
      <c r="L352" s="1028"/>
      <c r="M352" s="1031"/>
      <c r="N352" s="206"/>
      <c r="O352" s="1075" t="s">
        <v>267</v>
      </c>
      <c r="P352" s="1022"/>
      <c r="Q352" s="206"/>
      <c r="R352" s="206"/>
      <c r="S352" s="206"/>
      <c r="T352" s="206"/>
    </row>
    <row r="353" spans="1:20" s="251" customFormat="1" ht="17.25" customHeight="1" x14ac:dyDescent="0.3">
      <c r="A353" s="293"/>
      <c r="B353" s="294"/>
      <c r="C353" s="295"/>
      <c r="D353" s="296"/>
      <c r="E353" s="145" t="s">
        <v>80</v>
      </c>
      <c r="F353" s="1023" t="s">
        <v>517</v>
      </c>
      <c r="G353" s="1157"/>
      <c r="H353" s="147">
        <v>5</v>
      </c>
      <c r="I353" s="639">
        <f>IF(AND(OR(A353="x", A353="p"),NOT(OR(B353="n", A352="x", A352="p"))),H353,0)</f>
        <v>0</v>
      </c>
      <c r="J353" s="640">
        <f>IF(AND(OR(D353="m", C353="y"),NOT(D352="m"),NOT(C352="y")),H353,0)</f>
        <v>0</v>
      </c>
      <c r="K353" s="39">
        <f>IF(AND(J353&gt;0,C353="y"),H353,0)</f>
        <v>0</v>
      </c>
      <c r="L353" s="1087"/>
      <c r="M353" s="1091"/>
      <c r="N353" s="206"/>
      <c r="O353" s="206"/>
      <c r="P353" s="206"/>
      <c r="Q353" s="206"/>
      <c r="R353" s="206"/>
      <c r="S353" s="206"/>
      <c r="T353" s="206"/>
    </row>
    <row r="354" spans="1:20" s="251" customFormat="1" ht="24.75" customHeight="1" x14ac:dyDescent="0.3">
      <c r="A354" s="842"/>
      <c r="B354" s="884"/>
      <c r="C354" s="884"/>
      <c r="D354" s="844"/>
      <c r="E354" s="146">
        <v>9</v>
      </c>
      <c r="F354" s="1158" t="s">
        <v>722</v>
      </c>
      <c r="G354" s="1047"/>
      <c r="H354" s="221"/>
      <c r="I354" s="143"/>
      <c r="J354" s="144"/>
      <c r="K354" s="39"/>
      <c r="L354" s="1086" t="s">
        <v>60</v>
      </c>
      <c r="M354" s="1030"/>
      <c r="N354" s="206"/>
      <c r="O354" s="206"/>
      <c r="P354" s="206"/>
      <c r="Q354" s="206"/>
      <c r="R354" s="206"/>
      <c r="S354" s="206"/>
      <c r="T354" s="206"/>
    </row>
    <row r="355" spans="1:20" s="251" customFormat="1" ht="14.25" customHeight="1" x14ac:dyDescent="0.3">
      <c r="A355" s="322"/>
      <c r="B355" s="323"/>
      <c r="C355" s="324"/>
      <c r="D355" s="325"/>
      <c r="E355" s="190" t="s">
        <v>79</v>
      </c>
      <c r="F355" s="1039" t="s">
        <v>450</v>
      </c>
      <c r="G355" s="1040"/>
      <c r="H355" s="147">
        <v>1</v>
      </c>
      <c r="I355" s="630">
        <f>IF(AND(OR(A355="x", A355="p"),NOT(B355="n")),H355,0)</f>
        <v>0</v>
      </c>
      <c r="J355" s="631">
        <f>IF(OR(D355="m", C355="y"),H355,0)</f>
        <v>0</v>
      </c>
      <c r="K355" s="39">
        <f>IF(AND(J355&gt;0,C355="y"),H355,0)</f>
        <v>0</v>
      </c>
      <c r="L355" s="1028"/>
      <c r="M355" s="1031"/>
      <c r="N355" s="206"/>
      <c r="O355" s="1075" t="str">
        <f>HYPERLINK("http://www.wbdg.org/resources/daylighting.php","Whole Building Design Guide: Daylighting")</f>
        <v>Whole Building Design Guide: Daylighting</v>
      </c>
      <c r="P355" s="1022"/>
      <c r="Q355" s="1022"/>
      <c r="R355" s="1022"/>
      <c r="S355" s="1022"/>
      <c r="T355" s="206"/>
    </row>
    <row r="356" spans="1:20" s="251" customFormat="1" ht="14" x14ac:dyDescent="0.3">
      <c r="A356" s="293"/>
      <c r="B356" s="294"/>
      <c r="C356" s="295"/>
      <c r="D356" s="296"/>
      <c r="E356" s="217" t="s">
        <v>80</v>
      </c>
      <c r="F356" s="1035" t="s">
        <v>451</v>
      </c>
      <c r="G356" s="1036"/>
      <c r="H356" s="148">
        <v>1</v>
      </c>
      <c r="I356" s="642">
        <f>IF(AND(OR(A356="x", A356="p"),NOT(B356="n")),H356,0)</f>
        <v>0</v>
      </c>
      <c r="J356" s="666">
        <f>IF(OR(D356="m", C356="y"),H356,0)</f>
        <v>0</v>
      </c>
      <c r="K356" s="39">
        <f>IF(AND(J356&gt;0,C356="y"),H356,0)</f>
        <v>0</v>
      </c>
      <c r="L356" s="1087"/>
      <c r="M356" s="1091"/>
      <c r="N356" s="206"/>
      <c r="O356" s="206"/>
      <c r="P356" s="206"/>
      <c r="Q356" s="206"/>
      <c r="R356" s="206"/>
      <c r="S356" s="206"/>
      <c r="T356" s="206"/>
    </row>
    <row r="357" spans="1:20" s="251" customFormat="1" ht="25.5" customHeight="1" thickBot="1" x14ac:dyDescent="0.35">
      <c r="A357" s="842"/>
      <c r="B357" s="884"/>
      <c r="C357" s="884"/>
      <c r="D357" s="844"/>
      <c r="E357" s="142">
        <v>10</v>
      </c>
      <c r="F357" s="1144" t="s">
        <v>268</v>
      </c>
      <c r="G357" s="1145"/>
      <c r="H357" s="1105" t="s">
        <v>269</v>
      </c>
      <c r="I357" s="1106">
        <f>IF(AND(A358="p",F358&gt;0,NOT(B358="n")),MIN(F358,3),0)</f>
        <v>0</v>
      </c>
      <c r="J357" s="1108">
        <f>IF(AND(OR(C358="y",D358="m")),MIN(F358,3),0)</f>
        <v>0</v>
      </c>
      <c r="K357" s="1110">
        <f>IF(AND(OR(C358="y")),MIN(F358,3),0)</f>
        <v>0</v>
      </c>
      <c r="L357" s="1086" t="s">
        <v>60</v>
      </c>
      <c r="M357" s="1030"/>
      <c r="N357" s="206"/>
      <c r="O357" s="206"/>
      <c r="P357" s="38"/>
      <c r="Q357" s="38"/>
      <c r="R357" s="206"/>
      <c r="S357" s="206"/>
      <c r="T357" s="206"/>
    </row>
    <row r="358" spans="1:20" s="251" customFormat="1" ht="14" x14ac:dyDescent="0.3">
      <c r="A358" s="322"/>
      <c r="B358" s="323"/>
      <c r="C358" s="324"/>
      <c r="D358" s="325"/>
      <c r="E358" s="149"/>
      <c r="F358" s="393">
        <v>0</v>
      </c>
      <c r="G358" s="16" t="s">
        <v>270</v>
      </c>
      <c r="H358" s="1031"/>
      <c r="I358" s="1153"/>
      <c r="J358" s="1154"/>
      <c r="K358" s="1034"/>
      <c r="L358" s="1087"/>
      <c r="M358" s="1091"/>
      <c r="N358" s="206"/>
      <c r="O358" s="1075" t="s">
        <v>681</v>
      </c>
      <c r="P358" s="1022"/>
      <c r="Q358" s="1022"/>
      <c r="R358" s="206"/>
      <c r="S358" s="206"/>
      <c r="T358" s="206"/>
    </row>
    <row r="359" spans="1:20" s="251" customFormat="1" ht="24" customHeight="1" x14ac:dyDescent="0.3">
      <c r="A359" s="301"/>
      <c r="B359" s="302"/>
      <c r="C359" s="303"/>
      <c r="D359" s="304"/>
      <c r="E359" s="90">
        <v>11</v>
      </c>
      <c r="F359" s="1046" t="s">
        <v>271</v>
      </c>
      <c r="G359" s="1047"/>
      <c r="H359" s="127">
        <v>1</v>
      </c>
      <c r="I359" s="40">
        <f>IF(AND(OR(A359="x", A359="p"),NOT(B359="n")),H359,0)</f>
        <v>0</v>
      </c>
      <c r="J359" s="41">
        <f>IF(OR(D359="m", C359="y"),H359,0)</f>
        <v>0</v>
      </c>
      <c r="K359" s="39">
        <f>IF(AND(J359&gt;0,C359="y"),H359,0)</f>
        <v>0</v>
      </c>
      <c r="L359" s="18" t="s">
        <v>253</v>
      </c>
      <c r="M359" s="277"/>
      <c r="N359" s="206"/>
      <c r="O359" s="1050"/>
      <c r="P359" s="1022"/>
      <c r="Q359" s="1022"/>
      <c r="R359" s="206"/>
      <c r="S359" s="206"/>
      <c r="T359" s="206"/>
    </row>
    <row r="360" spans="1:20" s="251" customFormat="1" ht="29.25" customHeight="1" x14ac:dyDescent="0.3">
      <c r="A360" s="964"/>
      <c r="B360" s="965"/>
      <c r="C360" s="966"/>
      <c r="D360" s="844"/>
      <c r="E360" s="142">
        <v>12</v>
      </c>
      <c r="F360" s="1144" t="s">
        <v>649</v>
      </c>
      <c r="G360" s="1318"/>
      <c r="H360" s="1105" t="s">
        <v>269</v>
      </c>
      <c r="I360" s="1106">
        <f>IF(AND(A361="p",F361&gt;0,NOT(B361="n")),MIN(F362,3),0)</f>
        <v>0</v>
      </c>
      <c r="J360" s="1108">
        <f>IF(AND(OR(C361="y",D361="m")),MIN(F362,3),0)</f>
        <v>0</v>
      </c>
      <c r="K360" s="1110">
        <f>IF(AND(OR(C361="y")),MIN(F362),0)</f>
        <v>0</v>
      </c>
      <c r="L360" s="1086" t="s">
        <v>60</v>
      </c>
      <c r="M360" s="1030"/>
      <c r="N360" s="206"/>
      <c r="O360" s="206"/>
      <c r="P360" s="38"/>
      <c r="Q360" s="38"/>
      <c r="R360" s="206"/>
      <c r="S360" s="206"/>
      <c r="T360" s="206"/>
    </row>
    <row r="361" spans="1:20" s="251" customFormat="1" ht="14.5" thickBot="1" x14ac:dyDescent="0.35">
      <c r="A361" s="1301"/>
      <c r="B361" s="1303"/>
      <c r="C361" s="1313"/>
      <c r="D361" s="1315"/>
      <c r="E361" s="1316" t="s">
        <v>79</v>
      </c>
      <c r="F361" s="1039" t="s">
        <v>452</v>
      </c>
      <c r="G361" s="1040"/>
      <c r="H361" s="1031"/>
      <c r="I361" s="1240"/>
      <c r="J361" s="1109"/>
      <c r="K361" s="1028"/>
      <c r="L361" s="1028"/>
      <c r="M361" s="1031"/>
      <c r="N361" s="206"/>
      <c r="O361" s="206"/>
      <c r="P361" s="206"/>
      <c r="Q361" s="206"/>
      <c r="R361" s="206"/>
      <c r="S361" s="206"/>
      <c r="T361" s="206"/>
    </row>
    <row r="362" spans="1:20" s="251" customFormat="1" ht="14" x14ac:dyDescent="0.3">
      <c r="A362" s="1302"/>
      <c r="B362" s="1304"/>
      <c r="C362" s="1314"/>
      <c r="D362" s="1309"/>
      <c r="E362" s="1317"/>
      <c r="F362" s="393">
        <v>0</v>
      </c>
      <c r="G362" s="16" t="s">
        <v>524</v>
      </c>
      <c r="H362" s="1031"/>
      <c r="I362" s="1311"/>
      <c r="J362" s="1321"/>
      <c r="K362" s="1034"/>
      <c r="L362" s="1087"/>
      <c r="M362" s="1031"/>
      <c r="N362" s="206"/>
      <c r="O362" s="209" t="s">
        <v>272</v>
      </c>
      <c r="P362" s="208"/>
      <c r="Q362" s="208"/>
      <c r="R362" s="208"/>
      <c r="S362" s="208"/>
      <c r="T362" s="208"/>
    </row>
    <row r="363" spans="1:20" s="251" customFormat="1" ht="18.75" customHeight="1" x14ac:dyDescent="0.3">
      <c r="A363" s="293"/>
      <c r="B363" s="294"/>
      <c r="C363" s="295"/>
      <c r="D363" s="296"/>
      <c r="E363" s="217" t="s">
        <v>80</v>
      </c>
      <c r="F363" s="1035" t="s">
        <v>453</v>
      </c>
      <c r="G363" s="1036"/>
      <c r="H363" s="148">
        <v>1</v>
      </c>
      <c r="I363" s="632">
        <f>IF(AND(OR(A363="x", A363="p"),NOT(OR(B363="n", A362="x", A362="p"))),H363,0)</f>
        <v>0</v>
      </c>
      <c r="J363" s="686">
        <f>IF(AND(OR(D363="m", C363="y"),NOT(D362="m"),NOT(C362="y")),H363,0)</f>
        <v>0</v>
      </c>
      <c r="K363" s="39">
        <f>IF(AND(J363&gt;0,C363="y"),H363,0)</f>
        <v>0</v>
      </c>
      <c r="L363" s="206"/>
      <c r="M363" s="1031"/>
      <c r="N363" s="206"/>
      <c r="O363" s="206"/>
      <c r="P363" s="206"/>
      <c r="Q363" s="206"/>
      <c r="R363" s="206"/>
      <c r="S363" s="206"/>
      <c r="T363" s="206"/>
    </row>
    <row r="364" spans="1:20" s="251" customFormat="1" ht="22.5" customHeight="1" thickBot="1" x14ac:dyDescent="0.35">
      <c r="A364" s="369"/>
      <c r="B364" s="370"/>
      <c r="C364" s="371"/>
      <c r="D364" s="304"/>
      <c r="E364" s="90">
        <v>13</v>
      </c>
      <c r="F364" s="1073" t="s">
        <v>648</v>
      </c>
      <c r="G364" s="1026"/>
      <c r="H364" s="127">
        <v>2</v>
      </c>
      <c r="I364" s="40">
        <f>IF(AND(OR(A364="x", A364="p"),NOT(B364="n")),H364,0)</f>
        <v>0</v>
      </c>
      <c r="J364" s="41">
        <f>IF(OR(D364="m", C364="y"),H364,0)</f>
        <v>0</v>
      </c>
      <c r="K364" s="39">
        <f>IF(AND(J364&gt;0,C364="y"),H364,0)</f>
        <v>0</v>
      </c>
      <c r="L364" s="60" t="s">
        <v>253</v>
      </c>
      <c r="M364" s="330"/>
      <c r="N364" s="206"/>
      <c r="O364" s="206"/>
      <c r="P364" s="38"/>
      <c r="Q364" s="38"/>
      <c r="R364" s="38"/>
      <c r="S364" s="38"/>
      <c r="T364" s="38"/>
    </row>
    <row r="365" spans="1:20" s="430" customFormat="1" ht="14.25" customHeight="1" thickBot="1" x14ac:dyDescent="0.35">
      <c r="A365" s="446"/>
      <c r="B365" s="448"/>
      <c r="C365" s="448"/>
      <c r="D365" s="455" t="s">
        <v>273</v>
      </c>
      <c r="E365" s="150"/>
      <c r="F365" s="151"/>
      <c r="G365" s="266"/>
      <c r="H365" s="66"/>
      <c r="I365" s="67"/>
      <c r="J365" s="637"/>
      <c r="K365" s="68"/>
      <c r="L365" s="1084"/>
      <c r="M365" s="1085"/>
      <c r="N365" s="8"/>
      <c r="O365" s="8"/>
      <c r="P365" s="8"/>
      <c r="Q365" s="8"/>
      <c r="R365" s="8"/>
      <c r="S365" s="8"/>
      <c r="T365" s="8"/>
    </row>
    <row r="366" spans="1:20" s="251" customFormat="1" ht="26.25" customHeight="1" x14ac:dyDescent="0.3">
      <c r="A366" s="355"/>
      <c r="B366" s="356"/>
      <c r="C366" s="357"/>
      <c r="D366" s="358"/>
      <c r="E366" s="152">
        <v>14</v>
      </c>
      <c r="F366" s="1288" t="s">
        <v>666</v>
      </c>
      <c r="G366" s="1289"/>
      <c r="H366" s="127">
        <v>1</v>
      </c>
      <c r="I366" s="40">
        <f>IF(AND(OR(A366="x", A366="p"),NOT(B366="n")),H366,0)</f>
        <v>0</v>
      </c>
      <c r="J366" s="41">
        <f>IF(OR(D366="m", C366="y"),H366,0)</f>
        <v>0</v>
      </c>
      <c r="K366" s="39">
        <f>IF(AND(J366&gt;0,C366="y"),H366,0)</f>
        <v>0</v>
      </c>
      <c r="L366" s="18" t="s">
        <v>60</v>
      </c>
      <c r="M366" s="785" t="s">
        <v>667</v>
      </c>
      <c r="N366" s="206"/>
      <c r="O366" s="206"/>
      <c r="P366" s="206"/>
      <c r="Q366" s="206"/>
      <c r="R366" s="206"/>
      <c r="S366" s="206"/>
      <c r="T366" s="206"/>
    </row>
    <row r="367" spans="1:20" s="251" customFormat="1" ht="56.25" customHeight="1" x14ac:dyDescent="0.3">
      <c r="A367" s="301"/>
      <c r="B367" s="302"/>
      <c r="C367" s="303"/>
      <c r="D367" s="304"/>
      <c r="E367" s="153">
        <v>15</v>
      </c>
      <c r="F367" s="1290" t="s">
        <v>650</v>
      </c>
      <c r="G367" s="1291"/>
      <c r="H367" s="154">
        <v>2</v>
      </c>
      <c r="I367" s="40">
        <f>IF(AND(OR(A367="x", A367="p"),NOT(B367="n")),H367,0)</f>
        <v>0</v>
      </c>
      <c r="J367" s="41">
        <f>IF(OR(D367="m", C367="y"),H367,0)</f>
        <v>0</v>
      </c>
      <c r="K367" s="39">
        <f>IF(AND(J367&gt;0,C367="y"),H367,0)</f>
        <v>0</v>
      </c>
      <c r="L367" s="18" t="s">
        <v>60</v>
      </c>
      <c r="M367" s="785"/>
      <c r="N367" s="206"/>
      <c r="O367" s="250" t="s">
        <v>67</v>
      </c>
      <c r="P367" s="206"/>
      <c r="Q367" s="206"/>
      <c r="R367" s="206"/>
      <c r="S367" s="206"/>
      <c r="T367" s="206"/>
    </row>
    <row r="368" spans="1:20" s="251" customFormat="1" ht="26.25" customHeight="1" x14ac:dyDescent="0.3">
      <c r="A368" s="842"/>
      <c r="B368" s="884"/>
      <c r="C368" s="884"/>
      <c r="D368" s="844"/>
      <c r="E368" s="155">
        <v>16</v>
      </c>
      <c r="F368" s="1295" t="s">
        <v>682</v>
      </c>
      <c r="G368" s="1262"/>
      <c r="H368" s="218"/>
      <c r="I368" s="143"/>
      <c r="J368" s="687"/>
      <c r="K368" s="39"/>
      <c r="L368" s="1027" t="s">
        <v>274</v>
      </c>
      <c r="M368" s="1030"/>
      <c r="N368" s="206"/>
      <c r="O368" s="209" t="s">
        <v>275</v>
      </c>
      <c r="P368" s="208"/>
      <c r="Q368" s="208"/>
      <c r="R368" s="208"/>
      <c r="S368" s="208"/>
      <c r="T368" s="208"/>
    </row>
    <row r="369" spans="1:20" s="251" customFormat="1" ht="15.75" customHeight="1" thickBot="1" x14ac:dyDescent="0.35">
      <c r="A369" s="1227"/>
      <c r="B369" s="1229"/>
      <c r="C369" s="1308"/>
      <c r="D369" s="1232"/>
      <c r="E369" s="1306" t="s">
        <v>79</v>
      </c>
      <c r="F369" s="1296" t="s">
        <v>276</v>
      </c>
      <c r="G369" s="1297"/>
      <c r="H369" s="1319" t="s">
        <v>277</v>
      </c>
      <c r="I369" s="1310">
        <f>IF(AND(A369="p",F369&gt;0,NOT(B369="n"),ISNUMBER(F370)), MIN(75,ROUNDDOWN(F370/100*75,0)),0)</f>
        <v>0</v>
      </c>
      <c r="J369" s="1312">
        <f>IF(AND(OR(C369="y",D369="m"),F370&gt;0,ISNUMBER(F370)), MIN(75,ROUNDDOWN(F370/100*75,0)),0)</f>
        <v>0</v>
      </c>
      <c r="K369" s="1110">
        <f>IF(AND(OR(C369="y"),F369&gt;0,ISNUMBER(F370)), MIN(75,ROUNDDOWN(F370/100*75,0)),0)</f>
        <v>0</v>
      </c>
      <c r="L369" s="1028"/>
      <c r="M369" s="1057"/>
      <c r="N369" s="208"/>
      <c r="O369" s="1021" t="s">
        <v>278</v>
      </c>
      <c r="P369" s="1022"/>
      <c r="Q369" s="1022"/>
      <c r="R369" s="1022"/>
      <c r="S369" s="208"/>
      <c r="T369" s="208"/>
    </row>
    <row r="370" spans="1:20" s="251" customFormat="1" ht="18.75" customHeight="1" x14ac:dyDescent="0.3">
      <c r="A370" s="1302"/>
      <c r="B370" s="1305"/>
      <c r="C370" s="1305"/>
      <c r="D370" s="1309"/>
      <c r="E370" s="1307"/>
      <c r="F370" s="1016">
        <v>0</v>
      </c>
      <c r="G370" s="1017" t="s">
        <v>279</v>
      </c>
      <c r="H370" s="1320"/>
      <c r="I370" s="1311"/>
      <c r="J370" s="1109"/>
      <c r="K370" s="1034"/>
      <c r="L370" s="1028"/>
      <c r="M370" s="1057"/>
      <c r="N370" s="208"/>
      <c r="O370" s="1045"/>
      <c r="P370" s="1022"/>
      <c r="Q370" s="1022"/>
      <c r="R370" s="208"/>
      <c r="S370" s="208"/>
      <c r="T370" s="208"/>
    </row>
    <row r="371" spans="1:20" s="251" customFormat="1" ht="39.75" customHeight="1" x14ac:dyDescent="0.3">
      <c r="A371" s="326"/>
      <c r="B371" s="327"/>
      <c r="C371" s="328"/>
      <c r="D371" s="329"/>
      <c r="E371" s="101" t="s">
        <v>80</v>
      </c>
      <c r="F371" s="1298" t="s">
        <v>724</v>
      </c>
      <c r="G371" s="1299"/>
      <c r="H371" s="69">
        <v>5</v>
      </c>
      <c r="I371" s="639">
        <f t="shared" ref="I371:I376" si="17">IF(AND(OR(A371="x", A371="p"),NOT(B371="n")),H371,0)</f>
        <v>0</v>
      </c>
      <c r="J371" s="640">
        <f>IF(AND(OR(D371="m", C371="y")),H371,0)</f>
        <v>0</v>
      </c>
      <c r="K371" s="39">
        <f>IF(AND(J371&gt;0,C371="y"),H371,0)</f>
        <v>0</v>
      </c>
      <c r="L371" s="1034"/>
      <c r="M371" s="1057"/>
      <c r="N371" s="208"/>
      <c r="O371" s="208"/>
      <c r="P371" s="208"/>
      <c r="Q371" s="208"/>
      <c r="R371" s="208"/>
      <c r="S371" s="208"/>
      <c r="T371" s="208"/>
    </row>
    <row r="372" spans="1:20" s="269" customFormat="1" ht="15" customHeight="1" x14ac:dyDescent="0.3">
      <c r="A372" s="842"/>
      <c r="B372" s="884"/>
      <c r="C372" s="884"/>
      <c r="D372" s="844"/>
      <c r="E372" s="82">
        <v>22</v>
      </c>
      <c r="F372" s="1293" t="s">
        <v>498</v>
      </c>
      <c r="G372" s="1262"/>
      <c r="H372" s="273"/>
      <c r="I372" s="143"/>
      <c r="J372" s="144"/>
      <c r="K372" s="39"/>
      <c r="L372" s="1027" t="s">
        <v>493</v>
      </c>
      <c r="M372" s="1056"/>
      <c r="N372" s="270"/>
      <c r="O372" s="270"/>
      <c r="P372" s="270"/>
      <c r="Q372" s="270"/>
      <c r="R372" s="270"/>
      <c r="S372" s="270"/>
      <c r="T372" s="270"/>
    </row>
    <row r="373" spans="1:20" s="497" customFormat="1" ht="15" customHeight="1" x14ac:dyDescent="0.3">
      <c r="A373" s="322"/>
      <c r="B373" s="323"/>
      <c r="C373" s="324"/>
      <c r="D373" s="325"/>
      <c r="E373" s="507" t="s">
        <v>79</v>
      </c>
      <c r="F373" s="1300" t="s">
        <v>522</v>
      </c>
      <c r="G373" s="1097"/>
      <c r="H373" s="46">
        <v>1</v>
      </c>
      <c r="I373" s="630">
        <f>IF(AND(OR(A373="x", A373="p"),NOT(OR(B373="n", A374="x", A374="p", A375="x", A375="p"))),H373,0)</f>
        <v>0</v>
      </c>
      <c r="J373" s="638">
        <f>IF(AND(OR(D373="m", C373="y"),NOT(D374="m"),NOT(C374="y"), NOT(D375="m"),NOT(C375="y")),H373,0)</f>
        <v>0</v>
      </c>
      <c r="K373" s="39">
        <f>IF(AND(J373&gt;0,C373="y"),H373,0)</f>
        <v>0</v>
      </c>
      <c r="L373" s="1065"/>
      <c r="M373" s="1131"/>
      <c r="N373" s="499"/>
      <c r="O373" s="499"/>
      <c r="P373" s="499"/>
      <c r="Q373" s="499"/>
      <c r="R373" s="499"/>
      <c r="S373" s="499"/>
      <c r="T373" s="499"/>
    </row>
    <row r="374" spans="1:20" s="269" customFormat="1" ht="15" customHeight="1" x14ac:dyDescent="0.3">
      <c r="A374" s="322"/>
      <c r="B374" s="323"/>
      <c r="C374" s="324"/>
      <c r="D374" s="325"/>
      <c r="E374" s="48" t="s">
        <v>80</v>
      </c>
      <c r="F374" s="1300" t="s">
        <v>497</v>
      </c>
      <c r="G374" s="1097"/>
      <c r="H374" s="46">
        <v>2</v>
      </c>
      <c r="I374" s="630">
        <f>IF(AND(OR(A374="x", A374="p"),NOT(OR(B374="n", A375="x", A375="p", A373="x", A373="p"))),H374,0)</f>
        <v>0</v>
      </c>
      <c r="J374" s="638">
        <f>IF(AND(OR(D374="m", C374="y"),NOT(D375="m"),NOT(C375="y"), NOT(D373="m"),NOT(C373="y")),H374,0)</f>
        <v>0</v>
      </c>
      <c r="K374" s="39">
        <f>IF(AND(J374&gt;0,C374="y"),H374,0)</f>
        <v>0</v>
      </c>
      <c r="L374" s="1028"/>
      <c r="M374" s="1057"/>
      <c r="N374" s="272"/>
      <c r="O374" s="480" t="s">
        <v>494</v>
      </c>
      <c r="P374" s="272"/>
      <c r="Q374" s="272"/>
      <c r="R374" s="272"/>
      <c r="S374" s="272"/>
      <c r="T374" s="272"/>
    </row>
    <row r="375" spans="1:20" s="269" customFormat="1" ht="14.25" customHeight="1" x14ac:dyDescent="0.3">
      <c r="A375" s="293"/>
      <c r="B375" s="294"/>
      <c r="C375" s="295"/>
      <c r="D375" s="296"/>
      <c r="E375" s="88" t="s">
        <v>82</v>
      </c>
      <c r="F375" s="1300" t="s">
        <v>496</v>
      </c>
      <c r="G375" s="1097"/>
      <c r="H375" s="46">
        <v>3</v>
      </c>
      <c r="I375" s="630">
        <f>IF(AND(OR(A375="x", A375="p"),NOT(OR(B375="n", A374="x", A374="p", A373="x", A373="p"))),H375,0)</f>
        <v>0</v>
      </c>
      <c r="J375" s="638">
        <f>IF(AND(OR(D375="m", C375="y"),NOT(D374="m"),NOT(C374="y"), NOT(D373="m"),NOT(C373="y")),H375,0)</f>
        <v>0</v>
      </c>
      <c r="K375" s="39">
        <f>IF(AND(J375&gt;0,C375="y"),H375,0)</f>
        <v>0</v>
      </c>
      <c r="L375" s="1028"/>
      <c r="M375" s="1057"/>
      <c r="N375" s="272"/>
      <c r="O375" s="480" t="s">
        <v>495</v>
      </c>
      <c r="P375" s="272"/>
      <c r="Q375" s="272"/>
      <c r="R375" s="272"/>
      <c r="S375" s="272"/>
      <c r="T375" s="272"/>
    </row>
    <row r="376" spans="1:20" s="251" customFormat="1" ht="14.25" customHeight="1" x14ac:dyDescent="0.3">
      <c r="A376" s="301"/>
      <c r="B376" s="302"/>
      <c r="C376" s="303"/>
      <c r="D376" s="304"/>
      <c r="E376" s="86">
        <v>18</v>
      </c>
      <c r="F376" s="1292" t="s">
        <v>612</v>
      </c>
      <c r="G376" s="1291"/>
      <c r="H376" s="214">
        <v>3</v>
      </c>
      <c r="I376" s="40">
        <f t="shared" si="17"/>
        <v>0</v>
      </c>
      <c r="J376" s="41">
        <f>IF(OR(D376="m", C376="y"),H376,0)</f>
        <v>0</v>
      </c>
      <c r="K376" s="39">
        <f>IF(AND(J376&gt;0,C376="y"),H376,0)</f>
        <v>0</v>
      </c>
      <c r="L376" s="207" t="s">
        <v>60</v>
      </c>
      <c r="M376" s="277"/>
      <c r="N376" s="208"/>
      <c r="O376" s="208"/>
      <c r="P376" s="208"/>
      <c r="Q376" s="208"/>
      <c r="R376" s="208"/>
      <c r="S376" s="208"/>
      <c r="T376" s="208"/>
    </row>
    <row r="377" spans="1:20" s="251" customFormat="1" ht="29.25" customHeight="1" thickBot="1" x14ac:dyDescent="0.35">
      <c r="A377" s="842"/>
      <c r="B377" s="884"/>
      <c r="C377" s="884"/>
      <c r="D377" s="844"/>
      <c r="E377" s="82">
        <v>19</v>
      </c>
      <c r="F377" s="1293" t="s">
        <v>280</v>
      </c>
      <c r="G377" s="1262"/>
      <c r="H377" s="1294" t="s">
        <v>281</v>
      </c>
      <c r="I377" s="1106">
        <f>IF(AND(A378="p",F378&gt;0, NOT(B378="n"),ISNUMBER(F378)), MIN(30,ROUNDDOWN(F378/100*30,0)),0)</f>
        <v>0</v>
      </c>
      <c r="J377" s="1108">
        <f>IF(AND(OR(C378="y",D378="m"),F378&gt;0,ISNUMBER(F378)), MIN(30,ROUNDDOWN(F378/100*30,0)),0)</f>
        <v>0</v>
      </c>
      <c r="K377" s="1110">
        <f>IF(AND(OR(C378="y"),F378&gt;0,ISNUMBER(F378)), MIN(30,ROUNDDOWN(F378/100*30,0)),0)</f>
        <v>0</v>
      </c>
      <c r="L377" s="1027" t="s">
        <v>274</v>
      </c>
      <c r="M377" s="1030"/>
      <c r="N377" s="206"/>
      <c r="O377" s="1045"/>
      <c r="P377" s="1022"/>
      <c r="Q377" s="1022"/>
      <c r="R377" s="206"/>
      <c r="S377" s="206"/>
      <c r="T377" s="206"/>
    </row>
    <row r="378" spans="1:20" s="251" customFormat="1" ht="22.5" customHeight="1" x14ac:dyDescent="0.3">
      <c r="A378" s="315"/>
      <c r="B378" s="360"/>
      <c r="C378" s="361"/>
      <c r="D378" s="362"/>
      <c r="E378" s="74"/>
      <c r="F378" s="822">
        <v>0</v>
      </c>
      <c r="G378" s="823" t="s">
        <v>282</v>
      </c>
      <c r="H378" s="1031"/>
      <c r="I378" s="1107"/>
      <c r="J378" s="1109"/>
      <c r="K378" s="1034"/>
      <c r="L378" s="1034"/>
      <c r="M378" s="1058"/>
      <c r="N378" s="208"/>
      <c r="O378" s="208"/>
      <c r="P378" s="208"/>
      <c r="Q378" s="208"/>
      <c r="R378" s="208"/>
      <c r="S378" s="208"/>
      <c r="T378" s="208"/>
    </row>
    <row r="379" spans="1:20" s="251" customFormat="1" ht="37.5" x14ac:dyDescent="0.3">
      <c r="A379" s="301"/>
      <c r="B379" s="302"/>
      <c r="C379" s="303"/>
      <c r="D379" s="304"/>
      <c r="E379" s="90">
        <v>20</v>
      </c>
      <c r="F379" s="1073" t="s">
        <v>608</v>
      </c>
      <c r="G379" s="1026"/>
      <c r="H379" s="127">
        <v>2</v>
      </c>
      <c r="I379" s="40">
        <f>IF(AND(OR(A379="x", A379="p"),NOT(B379="n")),H379,0)</f>
        <v>0</v>
      </c>
      <c r="J379" s="41">
        <f>IF(OR(D379="m", C379="y"),H379,0)</f>
        <v>0</v>
      </c>
      <c r="K379" s="39">
        <f>IF(AND(J379&gt;0,C379="y"),H379,0)</f>
        <v>0</v>
      </c>
      <c r="L379" s="18" t="s">
        <v>283</v>
      </c>
      <c r="M379" s="277"/>
      <c r="N379" s="208"/>
      <c r="O379" s="1021" t="s">
        <v>284</v>
      </c>
      <c r="P379" s="1022"/>
      <c r="Q379" s="208"/>
      <c r="R379" s="208"/>
      <c r="S379" s="208"/>
      <c r="T379" s="208"/>
    </row>
    <row r="380" spans="1:20" s="251" customFormat="1" ht="25.5" thickBot="1" x14ac:dyDescent="0.35">
      <c r="A380" s="301"/>
      <c r="B380" s="302"/>
      <c r="C380" s="303"/>
      <c r="D380" s="304"/>
      <c r="E380" s="136">
        <v>22</v>
      </c>
      <c r="F380" s="1071" t="s">
        <v>127</v>
      </c>
      <c r="G380" s="1072"/>
      <c r="H380" s="348" t="s">
        <v>128</v>
      </c>
      <c r="I380" s="40"/>
      <c r="J380" s="685">
        <f>IF(AND(OR(D380="m", C380="y"), H380&lt;=7),H380,0)</f>
        <v>0</v>
      </c>
      <c r="K380" s="156">
        <f>IF(AND(J380&gt;0,C380="y"),H380,0)</f>
        <v>0</v>
      </c>
      <c r="L380" s="75" t="s">
        <v>153</v>
      </c>
      <c r="M380" s="345"/>
      <c r="N380" s="208"/>
      <c r="O380" s="209"/>
      <c r="P380" s="209"/>
      <c r="Q380" s="208"/>
      <c r="R380" s="208"/>
      <c r="S380" s="208"/>
      <c r="T380" s="208"/>
    </row>
    <row r="381" spans="1:20" s="251" customFormat="1" ht="14.25" customHeight="1" thickTop="1" thickBot="1" x14ac:dyDescent="0.35">
      <c r="A381" s="1277" t="s">
        <v>285</v>
      </c>
      <c r="B381" s="1278"/>
      <c r="C381" s="1278"/>
      <c r="D381" s="1278"/>
      <c r="E381" s="1278"/>
      <c r="F381" s="1278"/>
      <c r="G381" s="1278"/>
      <c r="H381" s="1279"/>
      <c r="I381" s="644">
        <f>SUM(I334:I380)</f>
        <v>0</v>
      </c>
      <c r="J381" s="644">
        <f>SUM(J334:J380)</f>
        <v>0</v>
      </c>
      <c r="K381" s="157">
        <f>SUM(K334:K380)</f>
        <v>0</v>
      </c>
      <c r="L381" s="470"/>
      <c r="M381" s="471"/>
      <c r="N381" s="206"/>
      <c r="O381" s="206"/>
      <c r="P381" s="206"/>
      <c r="Q381" s="206"/>
      <c r="R381" s="206"/>
      <c r="S381" s="206"/>
      <c r="T381" s="206"/>
    </row>
    <row r="382" spans="1:20" s="251" customFormat="1" ht="35.15" customHeight="1" thickTop="1" thickBot="1" x14ac:dyDescent="0.35">
      <c r="A382" s="1146" t="s">
        <v>40</v>
      </c>
      <c r="B382" s="1147"/>
      <c r="C382" s="1147"/>
      <c r="D382" s="1147"/>
      <c r="E382" s="1147"/>
      <c r="F382" s="1147"/>
      <c r="G382" s="1147"/>
      <c r="H382" s="1147"/>
      <c r="I382" s="1147"/>
      <c r="J382" s="1147"/>
      <c r="K382" s="1147"/>
      <c r="L382" s="1147"/>
      <c r="M382" s="1147"/>
      <c r="N382" s="3"/>
      <c r="O382" s="206"/>
      <c r="P382" s="206"/>
      <c r="Q382" s="206"/>
      <c r="R382" s="206"/>
      <c r="S382" s="206"/>
      <c r="T382" s="206"/>
    </row>
    <row r="383" spans="1:20" s="251" customFormat="1" ht="14.25" customHeight="1" thickBot="1" x14ac:dyDescent="0.35">
      <c r="A383" s="20"/>
      <c r="B383" s="21"/>
      <c r="C383" s="22"/>
      <c r="D383" s="23"/>
      <c r="E383" s="1116" t="s">
        <v>488</v>
      </c>
      <c r="F383" s="1117"/>
      <c r="G383" s="1118"/>
      <c r="H383" s="1280" t="s">
        <v>69</v>
      </c>
      <c r="I383" s="1133" t="s">
        <v>70</v>
      </c>
      <c r="J383" s="1134"/>
      <c r="K383" s="557"/>
      <c r="L383" s="1080" t="s">
        <v>71</v>
      </c>
      <c r="M383" s="1082" t="s">
        <v>129</v>
      </c>
      <c r="N383" s="3"/>
      <c r="O383" s="206"/>
      <c r="P383" s="206"/>
      <c r="Q383" s="206"/>
      <c r="R383" s="206"/>
      <c r="S383" s="206"/>
      <c r="T383" s="206"/>
    </row>
    <row r="384" spans="1:20" s="251" customFormat="1" ht="13.5" customHeight="1" thickBot="1" x14ac:dyDescent="0.35">
      <c r="A384" s="25" t="s">
        <v>0</v>
      </c>
      <c r="B384" s="26" t="s">
        <v>1</v>
      </c>
      <c r="C384" s="27" t="s">
        <v>73</v>
      </c>
      <c r="D384" s="28" t="s">
        <v>74</v>
      </c>
      <c r="E384" s="1119"/>
      <c r="F384" s="1120"/>
      <c r="G384" s="1121"/>
      <c r="H384" s="1281"/>
      <c r="I384" s="627" t="s">
        <v>75</v>
      </c>
      <c r="J384" s="628" t="s">
        <v>76</v>
      </c>
      <c r="K384" s="558"/>
      <c r="L384" s="1081"/>
      <c r="M384" s="1083"/>
      <c r="N384" s="3"/>
      <c r="O384" s="206"/>
      <c r="P384" s="206"/>
      <c r="Q384" s="206"/>
      <c r="R384" s="206"/>
      <c r="S384" s="206"/>
      <c r="T384" s="206"/>
    </row>
    <row r="385" spans="1:20" s="251" customFormat="1" ht="28.5" customHeight="1" thickBot="1" x14ac:dyDescent="0.35">
      <c r="A385" s="322"/>
      <c r="B385" s="323"/>
      <c r="C385" s="324"/>
      <c r="D385" s="325"/>
      <c r="E385" s="906">
        <v>1</v>
      </c>
      <c r="F385" s="1282" t="s">
        <v>581</v>
      </c>
      <c r="G385" s="1283"/>
      <c r="H385" s="220">
        <v>10</v>
      </c>
      <c r="I385" s="634">
        <f>IF(AND(OR(A385="x", A385="p"),NOT(B385="n")),H385,0)</f>
        <v>0</v>
      </c>
      <c r="J385" s="635">
        <f>IF(AND(OR(D385="m", C385="y")),H385,0)</f>
        <v>0</v>
      </c>
      <c r="K385" s="39">
        <f>IF(AND(J385&gt;0,C385="y"),H385,0)</f>
        <v>0</v>
      </c>
      <c r="L385" s="210" t="s">
        <v>286</v>
      </c>
      <c r="M385" s="703"/>
      <c r="N385" s="208"/>
      <c r="O385" s="1075" t="s">
        <v>27</v>
      </c>
      <c r="P385" s="1022"/>
      <c r="Q385" s="1022"/>
      <c r="R385" s="206"/>
      <c r="S385" s="206"/>
      <c r="T385" s="206"/>
    </row>
    <row r="386" spans="1:20" s="430" customFormat="1" ht="14.25" customHeight="1" thickBot="1" x14ac:dyDescent="0.35">
      <c r="A386" s="446"/>
      <c r="B386" s="448"/>
      <c r="C386" s="448"/>
      <c r="D386" s="451" t="s">
        <v>287</v>
      </c>
      <c r="E386" s="468"/>
      <c r="F386" s="468"/>
      <c r="G386" s="132"/>
      <c r="H386" s="158"/>
      <c r="I386" s="688"/>
      <c r="J386" s="689"/>
      <c r="K386" s="39"/>
      <c r="L386" s="461"/>
      <c r="M386" s="462"/>
      <c r="N386" s="8"/>
      <c r="O386" s="8"/>
      <c r="P386" s="8"/>
      <c r="Q386" s="8"/>
      <c r="R386" s="8"/>
      <c r="S386" s="8"/>
      <c r="T386" s="8"/>
    </row>
    <row r="387" spans="1:20" s="251" customFormat="1" ht="39.75" customHeight="1" x14ac:dyDescent="0.3">
      <c r="A387" s="890"/>
      <c r="B387" s="891"/>
      <c r="C387" s="892"/>
      <c r="D387" s="893"/>
      <c r="E387" s="991">
        <v>2</v>
      </c>
      <c r="F387" s="1284" t="s">
        <v>725</v>
      </c>
      <c r="G387" s="1167"/>
      <c r="H387" s="805" t="s">
        <v>597</v>
      </c>
      <c r="I387" s="806">
        <f>IF(AND(OR(A387="x", A387="p"),NOT(B387="n")),IF(AND(#REF!&lt;50,#REF!&gt;41.99),ROUNDDOWN((#REF!-39.5)/2.5,0),0),0)</f>
        <v>0</v>
      </c>
      <c r="J387" s="807">
        <f>IF(AND(OR(C387="y", D387="m")),IF(AND(#REF!&lt;50,#REF!&gt;41.99),ROUNDDOWN((#REF!-39.5)/2.5,0),0),0)</f>
        <v>0</v>
      </c>
      <c r="K387" s="798">
        <f>IF(AND(OR(C387="y")),IF(AND(#REF!&lt;50,#REF!&gt;41.99),ROUNDDOWN((#REF!-39.5)/2.5,0),0),0)</f>
        <v>0</v>
      </c>
      <c r="L387" s="894" t="s">
        <v>288</v>
      </c>
      <c r="M387" s="895"/>
      <c r="N387" s="206"/>
      <c r="O387" s="1021" t="str">
        <f>HYPERLINK("https://www.greenbuilt.org/wp-content/uploads/2017/08/GarageToHouseWall-1.pdf","Garage to house wall details")</f>
        <v>Garage to house wall details</v>
      </c>
      <c r="P387" s="1022"/>
      <c r="Q387" s="1022"/>
      <c r="R387" s="209" t="str">
        <f>HYPERLINK("https://basc.pnnl.gov/resource-guides/garage-rimband-joist-adjoining-conditioned-space","DOE: Garage to house wall")</f>
        <v>DOE: Garage to house wall</v>
      </c>
      <c r="S387" s="206"/>
      <c r="T387" s="206"/>
    </row>
    <row r="388" spans="1:20" s="251" customFormat="1" ht="17.5" customHeight="1" x14ac:dyDescent="0.3">
      <c r="A388" s="301"/>
      <c r="B388" s="302"/>
      <c r="C388" s="303"/>
      <c r="D388" s="304"/>
      <c r="E388" s="992">
        <v>3</v>
      </c>
      <c r="F388" s="1285" t="s">
        <v>289</v>
      </c>
      <c r="G388" s="1275"/>
      <c r="H388" s="127">
        <v>5</v>
      </c>
      <c r="I388" s="40">
        <f>IF(AND(OR(A388="x", A388="p"),NOT(B388="n")),H388,0)</f>
        <v>0</v>
      </c>
      <c r="J388" s="41">
        <f>IF(OR(D388="m", C388="y"),H388,0)</f>
        <v>0</v>
      </c>
      <c r="K388" s="39">
        <f>IF(AND(J388&gt;0,C388="y"),H388,0)</f>
        <v>0</v>
      </c>
      <c r="L388" s="18" t="s">
        <v>60</v>
      </c>
      <c r="M388" s="785"/>
      <c r="N388" s="206"/>
      <c r="O388" s="479" t="s">
        <v>290</v>
      </c>
      <c r="P388" s="477"/>
      <c r="Q388" s="477"/>
      <c r="R388" s="477"/>
      <c r="S388" s="478"/>
      <c r="T388" s="206"/>
    </row>
    <row r="389" spans="1:20" s="251" customFormat="1" ht="24" customHeight="1" x14ac:dyDescent="0.3">
      <c r="A389" s="355"/>
      <c r="B389" s="356"/>
      <c r="C389" s="357"/>
      <c r="D389" s="358"/>
      <c r="E389" s="907">
        <v>4</v>
      </c>
      <c r="F389" s="1286" t="s">
        <v>683</v>
      </c>
      <c r="G389" s="1287"/>
      <c r="H389" s="159">
        <v>2</v>
      </c>
      <c r="I389" s="645">
        <f>IF(AND(OR(A389="x", A389="p"),NOT(B389="n")),H389,0)</f>
        <v>0</v>
      </c>
      <c r="J389" s="41">
        <f>IF(OR(D389="m", C389="y"),H389,0)</f>
        <v>0</v>
      </c>
      <c r="K389" s="39">
        <f>IF(AND(J389&gt;0,C389="y"),H389,0)</f>
        <v>0</v>
      </c>
      <c r="L389" s="160" t="s">
        <v>60</v>
      </c>
      <c r="M389" s="785" t="s">
        <v>665</v>
      </c>
      <c r="N389" s="206"/>
      <c r="O389" s="1148" t="str">
        <f>HYPERLINK("https://www.energystar.gov/products/heating_cooling/fans_ventilating ","Energy Star Ventilation Fans")</f>
        <v>Energy Star Ventilation Fans</v>
      </c>
      <c r="P389" s="1022"/>
      <c r="Q389" s="1022"/>
      <c r="R389" s="1022"/>
      <c r="S389" s="208"/>
      <c r="T389" s="208"/>
    </row>
    <row r="390" spans="1:20" s="251" customFormat="1" ht="14" x14ac:dyDescent="0.3">
      <c r="A390" s="355"/>
      <c r="B390" s="356"/>
      <c r="C390" s="357"/>
      <c r="D390" s="358"/>
      <c r="E390" s="907">
        <v>5</v>
      </c>
      <c r="F390" s="1073" t="s">
        <v>533</v>
      </c>
      <c r="G390" s="1026"/>
      <c r="H390" s="159">
        <v>1</v>
      </c>
      <c r="I390" s="645">
        <f>IF(AND(OR(A390="x", A390="p"),NOT(B390="n")),H390,0)</f>
        <v>0</v>
      </c>
      <c r="J390" s="41">
        <f>IF(OR(D390="m", C390="y"),H390,0)</f>
        <v>0</v>
      </c>
      <c r="K390" s="39">
        <f>IF(AND(J390&gt;0,C390="y"),H390,0)</f>
        <v>0</v>
      </c>
      <c r="L390" s="160" t="s">
        <v>60</v>
      </c>
      <c r="M390" s="277"/>
      <c r="N390" s="206"/>
      <c r="O390" s="271" t="str">
        <f>HYPERLINK("https://basc.pnnl.gov/resource-guides/removing-construction-debris-ducts","Building America Solutions: Duct Debris")</f>
        <v>Building America Solutions: Duct Debris</v>
      </c>
      <c r="P390" s="269"/>
      <c r="Q390" s="269"/>
      <c r="R390" s="269"/>
      <c r="S390" s="272"/>
      <c r="T390" s="208"/>
    </row>
    <row r="391" spans="1:20" s="269" customFormat="1" ht="14" x14ac:dyDescent="0.3">
      <c r="A391" s="355"/>
      <c r="B391" s="356"/>
      <c r="C391" s="357"/>
      <c r="D391" s="358"/>
      <c r="E391" s="907">
        <v>6</v>
      </c>
      <c r="F391" s="1073" t="s">
        <v>486</v>
      </c>
      <c r="G391" s="1026"/>
      <c r="H391" s="159">
        <v>2</v>
      </c>
      <c r="I391" s="645">
        <f>IF(AND(OR(A391="x", A391="p"),NOT(B391="n")),H391,0)</f>
        <v>0</v>
      </c>
      <c r="J391" s="41">
        <f>IF(OR(D391="m", C391="y"),H391,0)</f>
        <v>0</v>
      </c>
      <c r="K391" s="39">
        <f>IF(AND(J391&gt;0,C391="y"),H391,0)</f>
        <v>0</v>
      </c>
      <c r="L391" s="160" t="s">
        <v>60</v>
      </c>
      <c r="M391" s="277"/>
      <c r="N391" s="270"/>
      <c r="O391" s="476" t="s">
        <v>484</v>
      </c>
      <c r="R391" s="476" t="s">
        <v>485</v>
      </c>
      <c r="S391" s="272"/>
      <c r="T391" s="272"/>
    </row>
    <row r="392" spans="1:20" s="251" customFormat="1" ht="39.75" customHeight="1" x14ac:dyDescent="0.3">
      <c r="A392" s="842"/>
      <c r="B392" s="884"/>
      <c r="C392" s="884"/>
      <c r="D392" s="844"/>
      <c r="E392" s="993">
        <v>7</v>
      </c>
      <c r="F392" s="1250" t="s">
        <v>423</v>
      </c>
      <c r="G392" s="1047"/>
      <c r="H392" s="218"/>
      <c r="I392" s="143"/>
      <c r="J392" s="144"/>
      <c r="K392" s="39"/>
      <c r="L392" s="1027" t="s">
        <v>62</v>
      </c>
      <c r="M392" s="1056"/>
      <c r="N392" s="208"/>
      <c r="O392" s="225"/>
      <c r="P392" s="208"/>
      <c r="Q392" s="208"/>
      <c r="R392" s="208"/>
      <c r="S392" s="208"/>
      <c r="T392" s="208"/>
    </row>
    <row r="393" spans="1:20" s="251" customFormat="1" ht="15" customHeight="1" x14ac:dyDescent="0.3">
      <c r="A393" s="293"/>
      <c r="B393" s="294"/>
      <c r="C393" s="295"/>
      <c r="D393" s="296"/>
      <c r="E393" s="48" t="s">
        <v>79</v>
      </c>
      <c r="F393" s="1039" t="s">
        <v>291</v>
      </c>
      <c r="G393" s="1040"/>
      <c r="H393" s="46">
        <v>1</v>
      </c>
      <c r="I393" s="630">
        <f>IF(AND(OR(A393="x", A393="p"),NOT(OR(B393="n", A394="x", A394="p", A395="x", A395="p"))),H393,0)</f>
        <v>0</v>
      </c>
      <c r="J393" s="638">
        <f>IF(AND(OR(D393="m", C393="y"),NOT(OR(D394="m",C394="y",D395="m",C395="y"))),H393,0)</f>
        <v>0</v>
      </c>
      <c r="K393" s="39">
        <f>IF(AND(J393&gt;0,C393="y"),H393,0)</f>
        <v>0</v>
      </c>
      <c r="L393" s="1028"/>
      <c r="M393" s="1031"/>
      <c r="N393" s="208"/>
      <c r="O393" s="1021" t="str">
        <f>HYPERLINK("https://www.epa.gov/indoor-air-quality-iaq/air-cleaners-and-air-filters-home-0","EPA: Air Filtration")</f>
        <v>EPA: Air Filtration</v>
      </c>
      <c r="P393" s="1022"/>
      <c r="Q393" s="208"/>
      <c r="R393" s="208"/>
      <c r="S393" s="208"/>
      <c r="T393" s="208"/>
    </row>
    <row r="394" spans="1:20" s="251" customFormat="1" ht="15" customHeight="1" x14ac:dyDescent="0.3">
      <c r="A394" s="293"/>
      <c r="B394" s="294"/>
      <c r="C394" s="295"/>
      <c r="D394" s="296"/>
      <c r="E394" s="48" t="s">
        <v>80</v>
      </c>
      <c r="F394" s="1039" t="s">
        <v>292</v>
      </c>
      <c r="G394" s="1040"/>
      <c r="H394" s="46">
        <v>2</v>
      </c>
      <c r="I394" s="630">
        <f>IF(AND(OR(A394="x", A394="p"),NOT(OR(B394="n", A393="x", A393="p", A395="x", A395="p"))),H394,0)</f>
        <v>0</v>
      </c>
      <c r="J394" s="638">
        <f>IF(AND(OR(D394="m", C394="y"),NOT(OR(D393="m",C393="y",D395="m",C395="y"))),H394,0)</f>
        <v>0</v>
      </c>
      <c r="K394" s="39">
        <f>IF(AND(J394&gt;0,C394="y"),H394,0)</f>
        <v>0</v>
      </c>
      <c r="L394" s="1028"/>
      <c r="M394" s="1031"/>
      <c r="N394" s="208"/>
      <c r="O394" s="208"/>
      <c r="P394" s="208"/>
      <c r="Q394" s="208"/>
      <c r="R394" s="208"/>
      <c r="S394" s="208"/>
      <c r="T394" s="208"/>
    </row>
    <row r="395" spans="1:20" s="251" customFormat="1" ht="14.25" customHeight="1" x14ac:dyDescent="0.3">
      <c r="A395" s="305"/>
      <c r="B395" s="306"/>
      <c r="C395" s="307"/>
      <c r="D395" s="308"/>
      <c r="E395" s="117" t="s">
        <v>82</v>
      </c>
      <c r="F395" s="1150" t="s">
        <v>293</v>
      </c>
      <c r="G395" s="1024"/>
      <c r="H395" s="59">
        <v>3</v>
      </c>
      <c r="I395" s="680">
        <f>IF(AND(OR(A395="x", A395="p"),NOT(OR(B395="n", A394="x", A394="p", A393="x", A393="p"))),H395,0)</f>
        <v>0</v>
      </c>
      <c r="J395" s="643">
        <f>IF(AND(OR(D395="m", C395="y"),NOT(OR(D393="m",C393="y",D394="m",C394="y"))),H395,0)</f>
        <v>0</v>
      </c>
      <c r="K395" s="39">
        <f>IF(AND(J395&gt;0,C395="y"),H395,0)</f>
        <v>0</v>
      </c>
      <c r="L395" s="1028"/>
      <c r="M395" s="1091"/>
      <c r="N395" s="208"/>
      <c r="O395" s="208"/>
      <c r="P395" s="208"/>
      <c r="Q395" s="208"/>
      <c r="R395" s="208"/>
      <c r="S395" s="208"/>
      <c r="T395" s="208"/>
    </row>
    <row r="396" spans="1:20" s="251" customFormat="1" ht="15" customHeight="1" x14ac:dyDescent="0.3">
      <c r="A396" s="842"/>
      <c r="B396" s="884"/>
      <c r="C396" s="884"/>
      <c r="D396" s="844"/>
      <c r="E396" s="161">
        <v>8</v>
      </c>
      <c r="F396" s="1261" t="s">
        <v>726</v>
      </c>
      <c r="G396" s="1262"/>
      <c r="H396" s="218"/>
      <c r="I396" s="143"/>
      <c r="J396" s="144"/>
      <c r="K396" s="35"/>
      <c r="L396" s="1027" t="s">
        <v>294</v>
      </c>
      <c r="M396" s="1030"/>
      <c r="N396" s="208"/>
      <c r="O396" s="208"/>
      <c r="P396" s="208"/>
      <c r="Q396" s="208"/>
      <c r="R396" s="208"/>
      <c r="S396" s="208"/>
      <c r="T396" s="208"/>
    </row>
    <row r="397" spans="1:20" s="251" customFormat="1" ht="15" customHeight="1" x14ac:dyDescent="0.3">
      <c r="A397" s="293"/>
      <c r="B397" s="294"/>
      <c r="C397" s="295"/>
      <c r="D397" s="296"/>
      <c r="E397" s="48" t="s">
        <v>79</v>
      </c>
      <c r="F397" s="1155" t="s">
        <v>295</v>
      </c>
      <c r="G397" s="1156"/>
      <c r="H397" s="46">
        <v>2</v>
      </c>
      <c r="I397" s="630">
        <f>IF(AND(OR(A397="x", A397="p"),NOT(B397="n")),H397,0)</f>
        <v>0</v>
      </c>
      <c r="J397" s="631">
        <f>IF(OR(D397="m", C397="y"),H397,0)</f>
        <v>0</v>
      </c>
      <c r="K397" s="39">
        <f>IF(AND(J397&gt;0,C397="y"),H397,0)</f>
        <v>0</v>
      </c>
      <c r="L397" s="1028"/>
      <c r="M397" s="1031"/>
      <c r="N397" s="208"/>
      <c r="O397" s="1021" t="s">
        <v>296</v>
      </c>
      <c r="P397" s="1022"/>
      <c r="Q397" s="1022"/>
      <c r="R397" s="1022"/>
      <c r="S397" s="1022"/>
      <c r="T397" s="208"/>
    </row>
    <row r="398" spans="1:20" s="251" customFormat="1" ht="15" customHeight="1" x14ac:dyDescent="0.3">
      <c r="A398" s="293"/>
      <c r="B398" s="294"/>
      <c r="C398" s="295"/>
      <c r="D398" s="296"/>
      <c r="E398" s="162" t="s">
        <v>80</v>
      </c>
      <c r="F398" s="1094" t="s">
        <v>557</v>
      </c>
      <c r="G398" s="1095"/>
      <c r="H398" s="46">
        <v>3</v>
      </c>
      <c r="I398" s="630">
        <f>IF(AND(OR(A398="x", A398="p"),NOT(B398="n")),H398,0)</f>
        <v>0</v>
      </c>
      <c r="J398" s="631">
        <f>IF(OR(D398="m", C398="y"),H398,0)</f>
        <v>0</v>
      </c>
      <c r="K398" s="39">
        <f>IF(AND(J398&gt;0,C398="y"),H398,0)</f>
        <v>0</v>
      </c>
      <c r="L398" s="1028"/>
      <c r="M398" s="1031"/>
      <c r="N398" s="208"/>
      <c r="O398" s="208"/>
      <c r="P398" s="208"/>
      <c r="Q398" s="208"/>
      <c r="R398" s="208"/>
      <c r="S398" s="208"/>
      <c r="T398" s="208"/>
    </row>
    <row r="399" spans="1:20" s="251" customFormat="1" ht="14.25" customHeight="1" x14ac:dyDescent="0.3">
      <c r="A399" s="305"/>
      <c r="B399" s="306"/>
      <c r="C399" s="307"/>
      <c r="D399" s="308"/>
      <c r="E399" s="117" t="s">
        <v>82</v>
      </c>
      <c r="F399" s="1096" t="s">
        <v>297</v>
      </c>
      <c r="G399" s="1097"/>
      <c r="H399" s="59">
        <v>4</v>
      </c>
      <c r="I399" s="680">
        <f>IF(AND(OR(A399="x", A399="p"),NOT(B399="n")),H399,0)</f>
        <v>0</v>
      </c>
      <c r="J399" s="629">
        <f>IF(OR(D399="m", C399="y"),H399,0)</f>
        <v>0</v>
      </c>
      <c r="K399" s="39">
        <f>IF(AND(J399&gt;0,C399="y"),H399,0)</f>
        <v>0</v>
      </c>
      <c r="L399" s="1028"/>
      <c r="M399" s="1031"/>
      <c r="N399" s="208"/>
      <c r="O399" s="208"/>
      <c r="P399" s="208"/>
      <c r="Q399" s="208"/>
      <c r="R399" s="208"/>
      <c r="S399" s="208"/>
      <c r="T399" s="208"/>
    </row>
    <row r="400" spans="1:20" s="251" customFormat="1" ht="30" customHeight="1" x14ac:dyDescent="0.3">
      <c r="A400" s="301"/>
      <c r="B400" s="302"/>
      <c r="C400" s="303"/>
      <c r="D400" s="304"/>
      <c r="E400" s="161">
        <v>9</v>
      </c>
      <c r="F400" s="1249" t="s">
        <v>613</v>
      </c>
      <c r="G400" s="1026"/>
      <c r="H400" s="218">
        <v>2</v>
      </c>
      <c r="I400" s="636">
        <f>IF(AND(OR(A400="x", A400="p"),NOT(B400="n")),H400,0)</f>
        <v>0</v>
      </c>
      <c r="J400" s="144">
        <f>IF(OR(D400="m", C400="y"),H400,0)</f>
        <v>0</v>
      </c>
      <c r="K400" s="39">
        <f>IF(AND(J400&gt;0,C400="y"),H400,0)</f>
        <v>0</v>
      </c>
      <c r="L400" s="207" t="s">
        <v>60</v>
      </c>
      <c r="M400" s="702"/>
      <c r="N400" s="208"/>
      <c r="O400" s="208"/>
      <c r="P400" s="208"/>
      <c r="Q400" s="208"/>
      <c r="R400" s="208"/>
      <c r="S400" s="208"/>
      <c r="T400" s="208"/>
    </row>
    <row r="401" spans="1:20" s="251" customFormat="1" ht="25.5" customHeight="1" x14ac:dyDescent="0.3">
      <c r="A401" s="842"/>
      <c r="B401" s="884"/>
      <c r="C401" s="884"/>
      <c r="D401" s="844"/>
      <c r="E401" s="82">
        <v>10</v>
      </c>
      <c r="F401" s="1250" t="s">
        <v>298</v>
      </c>
      <c r="G401" s="1047"/>
      <c r="H401" s="218"/>
      <c r="I401" s="143"/>
      <c r="J401" s="144"/>
      <c r="K401" s="39"/>
      <c r="L401" s="1027" t="s">
        <v>60</v>
      </c>
      <c r="M401" s="1030"/>
      <c r="N401" s="208"/>
      <c r="O401" s="271" t="str">
        <f>HYPERLINK("https://www.energystar.gov/products/heating_cooling/fans_ventilating ","Energy Star Ventilation Fans")</f>
        <v>Energy Star Ventilation Fans</v>
      </c>
      <c r="P401" s="269"/>
      <c r="Q401" s="269"/>
      <c r="R401" s="272"/>
      <c r="S401" s="272"/>
      <c r="T401" s="208"/>
    </row>
    <row r="402" spans="1:20" s="251" customFormat="1" ht="14.25" customHeight="1" x14ac:dyDescent="0.3">
      <c r="A402" s="322"/>
      <c r="B402" s="323"/>
      <c r="C402" s="324"/>
      <c r="D402" s="325"/>
      <c r="E402" s="48" t="s">
        <v>79</v>
      </c>
      <c r="F402" s="1039" t="s">
        <v>299</v>
      </c>
      <c r="G402" s="1040"/>
      <c r="H402" s="46">
        <v>1</v>
      </c>
      <c r="I402" s="630">
        <f>IF(AND(OR(A402="x", A402="p"),NOT(B402="n")),H402,0)</f>
        <v>0</v>
      </c>
      <c r="J402" s="631">
        <f>IF(OR(D402="m", C402="y"),H402,0)</f>
        <v>0</v>
      </c>
      <c r="K402" s="39">
        <f>IF(AND(J402&gt;0,C402="y"),H402,0)</f>
        <v>0</v>
      </c>
      <c r="L402" s="1028"/>
      <c r="M402" s="1031"/>
      <c r="N402" s="208"/>
      <c r="O402" s="1021" t="s">
        <v>300</v>
      </c>
      <c r="P402" s="1022"/>
      <c r="Q402" s="1022"/>
      <c r="R402" s="1022"/>
      <c r="S402" s="208"/>
      <c r="T402" s="208"/>
    </row>
    <row r="403" spans="1:20" s="251" customFormat="1" ht="15" customHeight="1" x14ac:dyDescent="0.3">
      <c r="A403" s="293"/>
      <c r="B403" s="294"/>
      <c r="C403" s="295"/>
      <c r="D403" s="296"/>
      <c r="E403" s="48" t="s">
        <v>80</v>
      </c>
      <c r="F403" s="1142" t="s">
        <v>301</v>
      </c>
      <c r="G403" s="1040"/>
      <c r="H403" s="59">
        <v>1</v>
      </c>
      <c r="I403" s="630">
        <f>IF(AND(OR(A403="x", A403="p"),NOT(B403="n")),H403,0)</f>
        <v>0</v>
      </c>
      <c r="J403" s="631">
        <f>IF(OR(D403="m", C403="y"),H403,0)</f>
        <v>0</v>
      </c>
      <c r="K403" s="39">
        <f>IF(AND(J403&gt;0,C403="y"),H403,0)</f>
        <v>0</v>
      </c>
      <c r="L403" s="1028"/>
      <c r="M403" s="1031"/>
      <c r="N403" s="208"/>
      <c r="O403" s="208"/>
      <c r="P403" s="208"/>
      <c r="Q403" s="208"/>
      <c r="R403" s="208"/>
      <c r="S403" s="208"/>
      <c r="T403" s="208"/>
    </row>
    <row r="404" spans="1:20" s="251" customFormat="1" ht="15" customHeight="1" x14ac:dyDescent="0.3">
      <c r="A404" s="293"/>
      <c r="B404" s="294"/>
      <c r="C404" s="295"/>
      <c r="D404" s="296"/>
      <c r="E404" s="48" t="s">
        <v>82</v>
      </c>
      <c r="F404" s="1039" t="s">
        <v>302</v>
      </c>
      <c r="G404" s="1040"/>
      <c r="H404" s="59">
        <v>1</v>
      </c>
      <c r="I404" s="630">
        <f>IF(AND(OR(A404="x", A404="p"),NOT(B404="n")),H404,0)</f>
        <v>0</v>
      </c>
      <c r="J404" s="631">
        <f>IF(OR(D404="m", C404="y"),H404,0)</f>
        <v>0</v>
      </c>
      <c r="K404" s="39">
        <f>IF(AND(J404&gt;0,C404="y"),H404,0)</f>
        <v>0</v>
      </c>
      <c r="L404" s="1028"/>
      <c r="M404" s="1031"/>
      <c r="N404" s="208"/>
      <c r="O404" s="208"/>
      <c r="P404" s="208"/>
      <c r="Q404" s="208"/>
      <c r="R404" s="208"/>
      <c r="S404" s="208"/>
      <c r="T404" s="208"/>
    </row>
    <row r="405" spans="1:20" s="251" customFormat="1" ht="15" customHeight="1" x14ac:dyDescent="0.3">
      <c r="A405" s="293"/>
      <c r="B405" s="294"/>
      <c r="C405" s="295"/>
      <c r="D405" s="296"/>
      <c r="E405" s="48" t="s">
        <v>83</v>
      </c>
      <c r="F405" s="1142" t="s">
        <v>303</v>
      </c>
      <c r="G405" s="1040"/>
      <c r="H405" s="46">
        <v>2</v>
      </c>
      <c r="I405" s="630">
        <f>IF(AND(OR(A405="x", A405="p"),NOT(B405="n")),H405,0)</f>
        <v>0</v>
      </c>
      <c r="J405" s="631">
        <f>IF(OR(D405="m", C405="y"),H405,0)</f>
        <v>0</v>
      </c>
      <c r="K405" s="39">
        <f>IF(AND(J405&gt;0,C405="y"),H405,0)</f>
        <v>0</v>
      </c>
      <c r="L405" s="1028"/>
      <c r="M405" s="1031"/>
      <c r="N405" s="208"/>
      <c r="O405" s="208"/>
      <c r="P405" s="208"/>
      <c r="Q405" s="208"/>
      <c r="R405" s="208"/>
      <c r="S405" s="208"/>
      <c r="T405" s="208"/>
    </row>
    <row r="406" spans="1:20" s="251" customFormat="1" ht="14.25" customHeight="1" x14ac:dyDescent="0.3">
      <c r="A406" s="297"/>
      <c r="B406" s="298"/>
      <c r="C406" s="299"/>
      <c r="D406" s="300"/>
      <c r="E406" s="48" t="s">
        <v>137</v>
      </c>
      <c r="F406" s="1039" t="s">
        <v>304</v>
      </c>
      <c r="G406" s="1040"/>
      <c r="H406" s="220">
        <v>1</v>
      </c>
      <c r="I406" s="630">
        <f>IF(AND(OR(A406="x", A406="p"),NOT(B406="n")),H406,0)</f>
        <v>0</v>
      </c>
      <c r="J406" s="631">
        <f>IF(OR(D406="m", C406="y"),H406,0)</f>
        <v>0</v>
      </c>
      <c r="K406" s="39">
        <f>IF(AND(J406&gt;0,C406="y"),H406,0)</f>
        <v>0</v>
      </c>
      <c r="L406" s="1028"/>
      <c r="M406" s="1031"/>
      <c r="N406" s="208"/>
      <c r="O406" s="208"/>
      <c r="P406" s="208"/>
      <c r="Q406" s="208"/>
      <c r="R406" s="208"/>
      <c r="S406" s="208"/>
      <c r="T406" s="208"/>
    </row>
    <row r="407" spans="1:20" s="251" customFormat="1" ht="32.25" customHeight="1" x14ac:dyDescent="0.3">
      <c r="A407" s="842"/>
      <c r="B407" s="884"/>
      <c r="C407" s="884"/>
      <c r="D407" s="844"/>
      <c r="E407" s="163">
        <v>11</v>
      </c>
      <c r="F407" s="1149" t="s">
        <v>305</v>
      </c>
      <c r="G407" s="1047"/>
      <c r="H407" s="221"/>
      <c r="I407" s="143"/>
      <c r="J407" s="144"/>
      <c r="K407" s="39"/>
      <c r="L407" s="1086" t="s">
        <v>60</v>
      </c>
      <c r="M407" s="1030"/>
      <c r="N407" s="206"/>
      <c r="O407" s="206"/>
      <c r="P407" s="206"/>
      <c r="Q407" s="206"/>
      <c r="R407" s="206"/>
      <c r="S407" s="206"/>
      <c r="T407" s="206"/>
    </row>
    <row r="408" spans="1:20" s="251" customFormat="1" ht="14.25" customHeight="1" x14ac:dyDescent="0.3">
      <c r="A408" s="322"/>
      <c r="B408" s="323"/>
      <c r="C408" s="324"/>
      <c r="D408" s="325"/>
      <c r="E408" s="190" t="s">
        <v>79</v>
      </c>
      <c r="F408" s="1039" t="s">
        <v>306</v>
      </c>
      <c r="G408" s="1040"/>
      <c r="H408" s="191">
        <v>1</v>
      </c>
      <c r="I408" s="632">
        <f t="shared" ref="I408:I414" si="18">IF(AND(OR(A408="x", A408="p"),NOT(B408="n")),H408,0)</f>
        <v>0</v>
      </c>
      <c r="J408" s="633">
        <f t="shared" ref="J408:J414" si="19">IF(OR(D408="m", C408="y"),H408,0)</f>
        <v>0</v>
      </c>
      <c r="K408" s="39">
        <f t="shared" ref="K408:K415" si="20">IF(AND(J408&gt;0,C408="y"),H408,0)</f>
        <v>0</v>
      </c>
      <c r="L408" s="1028"/>
      <c r="M408" s="1031"/>
      <c r="N408" s="206"/>
      <c r="O408" s="206"/>
      <c r="P408" s="206"/>
      <c r="Q408" s="206"/>
      <c r="R408" s="206"/>
      <c r="S408" s="206"/>
      <c r="T408" s="206"/>
    </row>
    <row r="409" spans="1:20" s="251" customFormat="1" ht="14.25" customHeight="1" x14ac:dyDescent="0.3">
      <c r="A409" s="293"/>
      <c r="B409" s="294"/>
      <c r="C409" s="295"/>
      <c r="D409" s="296"/>
      <c r="E409" s="190" t="s">
        <v>80</v>
      </c>
      <c r="F409" s="1039" t="s">
        <v>307</v>
      </c>
      <c r="G409" s="1040"/>
      <c r="H409" s="147">
        <v>3</v>
      </c>
      <c r="I409" s="630">
        <f t="shared" si="18"/>
        <v>0</v>
      </c>
      <c r="J409" s="631">
        <f t="shared" si="19"/>
        <v>0</v>
      </c>
      <c r="K409" s="39">
        <f t="shared" si="20"/>
        <v>0</v>
      </c>
      <c r="L409" s="1028"/>
      <c r="M409" s="1031"/>
      <c r="N409" s="206"/>
      <c r="O409" s="206"/>
      <c r="P409" s="206"/>
      <c r="Q409" s="206"/>
      <c r="R409" s="206"/>
      <c r="S409" s="206"/>
      <c r="T409" s="206"/>
    </row>
    <row r="410" spans="1:20" s="251" customFormat="1" ht="14.25" customHeight="1" x14ac:dyDescent="0.3">
      <c r="A410" s="373"/>
      <c r="B410" s="374"/>
      <c r="C410" s="375"/>
      <c r="D410" s="376"/>
      <c r="E410" s="145" t="s">
        <v>82</v>
      </c>
      <c r="F410" s="1023" t="s">
        <v>308</v>
      </c>
      <c r="G410" s="1024"/>
      <c r="H410" s="159">
        <v>6</v>
      </c>
      <c r="I410" s="642">
        <f t="shared" si="18"/>
        <v>0</v>
      </c>
      <c r="J410" s="666">
        <f t="shared" si="19"/>
        <v>0</v>
      </c>
      <c r="K410" s="39">
        <f t="shared" si="20"/>
        <v>0</v>
      </c>
      <c r="L410" s="1034"/>
      <c r="M410" s="1091"/>
      <c r="N410" s="206"/>
      <c r="O410" s="1070" t="s">
        <v>309</v>
      </c>
      <c r="P410" s="1022"/>
      <c r="Q410" s="1022"/>
      <c r="R410" s="1022"/>
      <c r="S410" s="208"/>
      <c r="T410" s="208"/>
    </row>
    <row r="411" spans="1:20" s="251" customFormat="1" ht="46" customHeight="1" x14ac:dyDescent="0.3">
      <c r="A411" s="373"/>
      <c r="B411" s="374"/>
      <c r="C411" s="375"/>
      <c r="D411" s="376"/>
      <c r="E411" s="164">
        <v>12</v>
      </c>
      <c r="F411" s="1247" t="s">
        <v>728</v>
      </c>
      <c r="G411" s="1248"/>
      <c r="H411" s="165">
        <v>3</v>
      </c>
      <c r="I411" s="40">
        <f t="shared" si="18"/>
        <v>0</v>
      </c>
      <c r="J411" s="41">
        <f t="shared" si="19"/>
        <v>0</v>
      </c>
      <c r="K411" s="39">
        <f t="shared" si="20"/>
        <v>0</v>
      </c>
      <c r="L411" s="18" t="s">
        <v>60</v>
      </c>
      <c r="M411" s="785"/>
      <c r="N411" s="208"/>
      <c r="O411" s="1022"/>
      <c r="P411" s="1022"/>
      <c r="Q411" s="1022"/>
      <c r="R411" s="1022"/>
      <c r="S411" s="208"/>
      <c r="T411" s="208"/>
    </row>
    <row r="412" spans="1:20" s="251" customFormat="1" ht="14.25" customHeight="1" x14ac:dyDescent="0.3">
      <c r="A412" s="301"/>
      <c r="B412" s="302"/>
      <c r="C412" s="303"/>
      <c r="D412" s="304"/>
      <c r="E412" s="100">
        <v>13</v>
      </c>
      <c r="F412" s="1073" t="s">
        <v>310</v>
      </c>
      <c r="G412" s="1026"/>
      <c r="H412" s="36">
        <v>1</v>
      </c>
      <c r="I412" s="40">
        <f t="shared" si="18"/>
        <v>0</v>
      </c>
      <c r="J412" s="41">
        <f t="shared" si="19"/>
        <v>0</v>
      </c>
      <c r="K412" s="39">
        <f t="shared" si="20"/>
        <v>0</v>
      </c>
      <c r="L412" s="18" t="s">
        <v>60</v>
      </c>
      <c r="M412" s="277"/>
      <c r="N412" s="208"/>
      <c r="O412" s="1022"/>
      <c r="P412" s="1022"/>
      <c r="Q412" s="1022"/>
      <c r="R412" s="1022"/>
      <c r="S412" s="208"/>
      <c r="T412" s="208"/>
    </row>
    <row r="413" spans="1:20" s="251" customFormat="1" ht="14.25" customHeight="1" x14ac:dyDescent="0.3">
      <c r="A413" s="301"/>
      <c r="B413" s="302"/>
      <c r="C413" s="303"/>
      <c r="D413" s="304"/>
      <c r="E413" s="100">
        <v>14</v>
      </c>
      <c r="F413" s="1246" t="s">
        <v>311</v>
      </c>
      <c r="G413" s="1026"/>
      <c r="H413" s="36">
        <v>2</v>
      </c>
      <c r="I413" s="40">
        <f t="shared" si="18"/>
        <v>0</v>
      </c>
      <c r="J413" s="41">
        <f t="shared" si="19"/>
        <v>0</v>
      </c>
      <c r="K413" s="39">
        <f t="shared" si="20"/>
        <v>0</v>
      </c>
      <c r="L413" s="18" t="s">
        <v>60</v>
      </c>
      <c r="M413" s="277"/>
      <c r="N413" s="208"/>
      <c r="O413" s="209" t="s">
        <v>312</v>
      </c>
      <c r="P413" s="208"/>
      <c r="Q413" s="208"/>
      <c r="R413" s="208"/>
      <c r="S413" s="208"/>
      <c r="T413" s="208"/>
    </row>
    <row r="414" spans="1:20" s="251" customFormat="1" ht="27" customHeight="1" x14ac:dyDescent="0.3">
      <c r="A414" s="305"/>
      <c r="B414" s="306"/>
      <c r="C414" s="307"/>
      <c r="D414" s="308"/>
      <c r="E414" s="32">
        <v>15</v>
      </c>
      <c r="F414" s="1253" t="s">
        <v>727</v>
      </c>
      <c r="G414" s="1026"/>
      <c r="H414" s="59">
        <v>3</v>
      </c>
      <c r="I414" s="634">
        <f t="shared" si="18"/>
        <v>0</v>
      </c>
      <c r="J414" s="629">
        <f t="shared" si="19"/>
        <v>0</v>
      </c>
      <c r="K414" s="39">
        <f t="shared" si="20"/>
        <v>0</v>
      </c>
      <c r="L414" s="210" t="s">
        <v>294</v>
      </c>
      <c r="M414" s="703"/>
      <c r="N414" s="208"/>
      <c r="O414" s="254" t="s">
        <v>313</v>
      </c>
      <c r="P414" s="206"/>
      <c r="Q414" s="206"/>
      <c r="R414" s="206"/>
      <c r="S414" s="206"/>
      <c r="T414" s="206"/>
    </row>
    <row r="415" spans="1:20" s="251" customFormat="1" ht="30" customHeight="1" thickBot="1" x14ac:dyDescent="0.35">
      <c r="A415" s="301"/>
      <c r="B415" s="302"/>
      <c r="C415" s="303"/>
      <c r="D415" s="304"/>
      <c r="E415" s="90">
        <v>16</v>
      </c>
      <c r="F415" s="1259" t="s">
        <v>417</v>
      </c>
      <c r="G415" s="1260"/>
      <c r="H415" s="127">
        <v>1</v>
      </c>
      <c r="I415" s="40">
        <f>IF(AND(OR(A415="x", A415="p"),NOT(B415="n")),H415,0)</f>
        <v>0</v>
      </c>
      <c r="J415" s="41">
        <f>IF(OR(D415="m", C415="y"),H415,0)</f>
        <v>0</v>
      </c>
      <c r="K415" s="39">
        <f t="shared" si="20"/>
        <v>0</v>
      </c>
      <c r="L415" s="18" t="s">
        <v>362</v>
      </c>
      <c r="M415" s="277"/>
      <c r="N415" s="206"/>
      <c r="O415" s="206"/>
      <c r="P415" s="206"/>
      <c r="Q415" s="206"/>
      <c r="R415" s="206"/>
      <c r="S415" s="206"/>
      <c r="T415" s="206"/>
    </row>
    <row r="416" spans="1:20" s="430" customFormat="1" ht="14.25" customHeight="1" thickBot="1" x14ac:dyDescent="0.35">
      <c r="A416" s="446"/>
      <c r="B416" s="448"/>
      <c r="C416" s="448"/>
      <c r="D416" s="453" t="s">
        <v>314</v>
      </c>
      <c r="E416" s="130"/>
      <c r="F416" s="131"/>
      <c r="G416" s="132"/>
      <c r="H416" s="66"/>
      <c r="I416" s="67"/>
      <c r="J416" s="637"/>
      <c r="K416" s="68"/>
      <c r="L416" s="461"/>
      <c r="M416" s="462"/>
      <c r="N416" s="8"/>
      <c r="O416" s="485" t="str">
        <f>HYPERLINK("https://basc.pnnl.gov/indoor-airplus-checklist/21-approved-radon-resistant-features-installed-radon-zone-1-homes","DOE: Radon Resistant Features")</f>
        <v>DOE: Radon Resistant Features</v>
      </c>
      <c r="P416" s="12"/>
      <c r="Q416" s="12"/>
      <c r="R416" s="12"/>
      <c r="S416" s="12"/>
      <c r="T416" s="12"/>
    </row>
    <row r="417" spans="1:20" s="251" customFormat="1" ht="25.5" customHeight="1" x14ac:dyDescent="0.3">
      <c r="A417" s="842"/>
      <c r="B417" s="884"/>
      <c r="C417" s="884"/>
      <c r="D417" s="844"/>
      <c r="E417" s="166">
        <v>17</v>
      </c>
      <c r="F417" s="1254" t="s">
        <v>534</v>
      </c>
      <c r="G417" s="1255"/>
      <c r="H417" s="220"/>
      <c r="I417" s="143"/>
      <c r="J417" s="144"/>
      <c r="K417" s="33"/>
      <c r="L417" s="1137" t="s">
        <v>315</v>
      </c>
      <c r="M417" s="421"/>
      <c r="N417" s="208"/>
      <c r="O417" s="206"/>
      <c r="P417" s="38"/>
      <c r="Q417" s="38"/>
      <c r="R417" s="38"/>
      <c r="S417" s="38"/>
      <c r="T417" s="38"/>
    </row>
    <row r="418" spans="1:20" s="251" customFormat="1" ht="14.25" customHeight="1" x14ac:dyDescent="0.3">
      <c r="A418" s="293"/>
      <c r="B418" s="294"/>
      <c r="C418" s="295"/>
      <c r="D418" s="296"/>
      <c r="E418" s="49" t="s">
        <v>79</v>
      </c>
      <c r="F418" s="1142" t="s">
        <v>424</v>
      </c>
      <c r="G418" s="1040"/>
      <c r="H418" s="46">
        <v>1</v>
      </c>
      <c r="I418" s="630">
        <f t="shared" ref="I418:I434" si="21">IF(AND(OR(A418="x", A418="p"),NOT(B418="n")),H418,0)</f>
        <v>0</v>
      </c>
      <c r="J418" s="631">
        <f t="shared" ref="J418:J434" si="22">IF(OR(D418="m", C418="y"),H418,0)</f>
        <v>0</v>
      </c>
      <c r="K418" s="167">
        <f t="shared" ref="K418:K434" si="23">IF(AND(J418&gt;0,C418="y"),H418,0)</f>
        <v>0</v>
      </c>
      <c r="L418" s="1138"/>
      <c r="M418" s="715"/>
      <c r="N418" s="208"/>
      <c r="O418" s="257" t="str">
        <f>HYPERLINK("https://www.epa.gov/sites/production/files/2015-10/documents/how_to_find_compliant_low_emission_products_508.pdf","Indoor Air Plus: Low Emission Products")</f>
        <v>Indoor Air Plus: Low Emission Products</v>
      </c>
      <c r="P418" s="206"/>
      <c r="Q418" s="208"/>
      <c r="R418" s="208"/>
      <c r="S418" s="208"/>
      <c r="T418" s="208"/>
    </row>
    <row r="419" spans="1:20" s="251" customFormat="1" ht="14.25" customHeight="1" x14ac:dyDescent="0.3">
      <c r="A419" s="293"/>
      <c r="B419" s="294"/>
      <c r="C419" s="295"/>
      <c r="D419" s="296"/>
      <c r="E419" s="49" t="s">
        <v>80</v>
      </c>
      <c r="F419" s="1142" t="s">
        <v>425</v>
      </c>
      <c r="G419" s="1040"/>
      <c r="H419" s="46">
        <v>1</v>
      </c>
      <c r="I419" s="630">
        <f t="shared" si="21"/>
        <v>0</v>
      </c>
      <c r="J419" s="631">
        <f t="shared" si="22"/>
        <v>0</v>
      </c>
      <c r="K419" s="167">
        <f t="shared" si="23"/>
        <v>0</v>
      </c>
      <c r="L419" s="1138"/>
      <c r="M419" s="715"/>
      <c r="N419" s="208"/>
      <c r="O419" s="257" t="str">
        <f>HYPERLINK("https://www.kcma.org/certifications/environmental-stewardship","KCMA Certification")</f>
        <v>KCMA Certification</v>
      </c>
      <c r="P419" s="206"/>
      <c r="Q419" s="208"/>
      <c r="R419" s="208"/>
      <c r="S419" s="208"/>
      <c r="T419" s="208"/>
    </row>
    <row r="420" spans="1:20" s="251" customFormat="1" ht="14.25" customHeight="1" x14ac:dyDescent="0.3">
      <c r="A420" s="293"/>
      <c r="B420" s="294"/>
      <c r="C420" s="295"/>
      <c r="D420" s="296"/>
      <c r="E420" s="49" t="s">
        <v>82</v>
      </c>
      <c r="F420" s="1142" t="s">
        <v>426</v>
      </c>
      <c r="G420" s="1040"/>
      <c r="H420" s="46">
        <v>1</v>
      </c>
      <c r="I420" s="630">
        <f t="shared" si="21"/>
        <v>0</v>
      </c>
      <c r="J420" s="631">
        <f t="shared" si="22"/>
        <v>0</v>
      </c>
      <c r="K420" s="167">
        <f t="shared" si="23"/>
        <v>0</v>
      </c>
      <c r="L420" s="1138"/>
      <c r="M420" s="715"/>
      <c r="N420" s="208"/>
      <c r="O420" s="1021" t="s">
        <v>316</v>
      </c>
      <c r="P420" s="1022"/>
      <c r="Q420" s="1022"/>
      <c r="R420" s="1022"/>
      <c r="S420" s="208"/>
      <c r="T420" s="208"/>
    </row>
    <row r="421" spans="1:20" s="251" customFormat="1" ht="14.25" customHeight="1" x14ac:dyDescent="0.3">
      <c r="A421" s="293"/>
      <c r="B421" s="294"/>
      <c r="C421" s="295"/>
      <c r="D421" s="296"/>
      <c r="E421" s="168" t="s">
        <v>83</v>
      </c>
      <c r="F421" s="1256" t="s">
        <v>427</v>
      </c>
      <c r="G421" s="1036"/>
      <c r="H421" s="46">
        <v>1</v>
      </c>
      <c r="I421" s="630">
        <f t="shared" si="21"/>
        <v>0</v>
      </c>
      <c r="J421" s="631">
        <f t="shared" si="22"/>
        <v>0</v>
      </c>
      <c r="K421" s="167">
        <f t="shared" si="23"/>
        <v>0</v>
      </c>
      <c r="L421" s="1138"/>
      <c r="M421" s="715"/>
      <c r="N421" s="208"/>
      <c r="O421" s="257" t="str">
        <f>HYPERLINK("https://www.calrecycle.ca.gov/greenbuilding/specs/section01350","CA Section 01350")</f>
        <v>CA Section 01350</v>
      </c>
      <c r="P421" s="38"/>
      <c r="Q421" s="206"/>
      <c r="R421" s="206"/>
      <c r="S421" s="208"/>
      <c r="T421" s="208"/>
    </row>
    <row r="422" spans="1:20" s="251" customFormat="1" ht="14.25" customHeight="1" x14ac:dyDescent="0.3">
      <c r="A422" s="293"/>
      <c r="B422" s="294"/>
      <c r="C422" s="295"/>
      <c r="D422" s="296"/>
      <c r="E422" s="49" t="s">
        <v>137</v>
      </c>
      <c r="F422" s="1257" t="s">
        <v>428</v>
      </c>
      <c r="G422" s="1258"/>
      <c r="H422" s="46">
        <v>1</v>
      </c>
      <c r="I422" s="630">
        <f t="shared" si="21"/>
        <v>0</v>
      </c>
      <c r="J422" s="631">
        <f t="shared" si="22"/>
        <v>0</v>
      </c>
      <c r="K422" s="167">
        <f t="shared" si="23"/>
        <v>0</v>
      </c>
      <c r="L422" s="1138"/>
      <c r="M422" s="715"/>
      <c r="N422" s="208"/>
      <c r="O422" s="1021" t="str">
        <f>HYPERLINK("http://greenguard.org/en/CertificationPrograms/CertificationPrograms_indoorAirQuality.aspx","GREENGUARD")</f>
        <v>GREENGUARD</v>
      </c>
      <c r="P422" s="1022"/>
      <c r="Q422" s="208"/>
      <c r="R422" s="208"/>
      <c r="S422" s="208"/>
      <c r="T422" s="208"/>
    </row>
    <row r="423" spans="1:20" s="251" customFormat="1" ht="14.25" customHeight="1" x14ac:dyDescent="0.3">
      <c r="A423" s="293"/>
      <c r="B423" s="294"/>
      <c r="C423" s="295"/>
      <c r="D423" s="296"/>
      <c r="E423" s="49" t="s">
        <v>134</v>
      </c>
      <c r="F423" s="1142" t="s">
        <v>429</v>
      </c>
      <c r="G423" s="1040"/>
      <c r="H423" s="46">
        <v>1</v>
      </c>
      <c r="I423" s="630">
        <f t="shared" si="21"/>
        <v>0</v>
      </c>
      <c r="J423" s="631">
        <f t="shared" si="22"/>
        <v>0</v>
      </c>
      <c r="K423" s="167">
        <f t="shared" si="23"/>
        <v>0</v>
      </c>
      <c r="L423" s="1138"/>
      <c r="M423" s="715"/>
      <c r="N423" s="208"/>
      <c r="O423" s="1148" t="str">
        <f>HYPERLINK("https://www.greenseal.org/green-seal-standards/gs-11/","Green Seal")</f>
        <v>Green Seal</v>
      </c>
      <c r="P423" s="1022"/>
      <c r="Q423" s="1022"/>
      <c r="R423" s="1022"/>
      <c r="S423" s="1022"/>
      <c r="T423" s="1022"/>
    </row>
    <row r="424" spans="1:20" s="251" customFormat="1" ht="14.25" customHeight="1" x14ac:dyDescent="0.3">
      <c r="A424" s="293"/>
      <c r="B424" s="294"/>
      <c r="C424" s="295"/>
      <c r="D424" s="296"/>
      <c r="E424" s="49" t="s">
        <v>245</v>
      </c>
      <c r="F424" s="1142" t="s">
        <v>430</v>
      </c>
      <c r="G424" s="1040"/>
      <c r="H424" s="46">
        <v>2</v>
      </c>
      <c r="I424" s="630">
        <f t="shared" si="21"/>
        <v>0</v>
      </c>
      <c r="J424" s="631">
        <f t="shared" si="22"/>
        <v>0</v>
      </c>
      <c r="K424" s="167">
        <f t="shared" si="23"/>
        <v>0</v>
      </c>
      <c r="L424" s="1138"/>
      <c r="M424" s="720"/>
      <c r="N424" s="208"/>
      <c r="O424" s="1148" t="str">
        <f>HYPERLINK("https://carpet-rug.org/testing/green-label-plus/?highlight=green%20label","CRI Green Label")</f>
        <v>CRI Green Label</v>
      </c>
      <c r="P424" s="1022"/>
      <c r="Q424" s="208"/>
      <c r="R424" s="208"/>
      <c r="S424" s="208"/>
      <c r="T424" s="208"/>
    </row>
    <row r="425" spans="1:20" s="251" customFormat="1" ht="14.25" customHeight="1" x14ac:dyDescent="0.3">
      <c r="A425" s="293"/>
      <c r="B425" s="294"/>
      <c r="C425" s="295"/>
      <c r="D425" s="296"/>
      <c r="E425" s="49" t="s">
        <v>317</v>
      </c>
      <c r="F425" s="1143" t="s">
        <v>431</v>
      </c>
      <c r="G425" s="1136"/>
      <c r="H425" s="46">
        <v>1</v>
      </c>
      <c r="I425" s="630">
        <f t="shared" si="21"/>
        <v>0</v>
      </c>
      <c r="J425" s="631">
        <f t="shared" si="22"/>
        <v>0</v>
      </c>
      <c r="K425" s="167">
        <f t="shared" si="23"/>
        <v>0</v>
      </c>
      <c r="L425" s="1138"/>
      <c r="M425" s="720"/>
      <c r="N425" s="208"/>
      <c r="O425" s="257" t="str">
        <f>HYPERLINK("https://www.scsglobalservices.com/certified-green-products-guide","SCS Indoor Advantage")</f>
        <v>SCS Indoor Advantage</v>
      </c>
      <c r="P425" s="38"/>
      <c r="Q425" s="208"/>
      <c r="R425" s="208"/>
      <c r="S425" s="208"/>
      <c r="T425" s="208"/>
    </row>
    <row r="426" spans="1:20" s="251" customFormat="1" ht="13.5" customHeight="1" x14ac:dyDescent="0.3">
      <c r="A426" s="394"/>
      <c r="B426" s="395"/>
      <c r="C426" s="396"/>
      <c r="D426" s="397"/>
      <c r="E426" s="169" t="s">
        <v>318</v>
      </c>
      <c r="F426" s="1142" t="s">
        <v>433</v>
      </c>
      <c r="G426" s="1040"/>
      <c r="H426" s="182">
        <v>1</v>
      </c>
      <c r="I426" s="630">
        <f t="shared" si="21"/>
        <v>0</v>
      </c>
      <c r="J426" s="631">
        <f t="shared" si="22"/>
        <v>0</v>
      </c>
      <c r="K426" s="167">
        <f t="shared" si="23"/>
        <v>0</v>
      </c>
      <c r="L426" s="1138"/>
      <c r="M426" s="715"/>
      <c r="N426" s="206"/>
      <c r="O426" s="257" t="str">
        <f>HYPERLINK("https://living-future.org/declare/?status=compliant","Living Future Compliant Products")</f>
        <v>Living Future Compliant Products</v>
      </c>
      <c r="P426" s="208"/>
      <c r="Q426" s="208"/>
      <c r="R426" s="208"/>
      <c r="S426" s="208"/>
      <c r="T426" s="208"/>
    </row>
    <row r="427" spans="1:20" s="251" customFormat="1" ht="14.25" customHeight="1" x14ac:dyDescent="0.3">
      <c r="A427" s="293"/>
      <c r="B427" s="294"/>
      <c r="C427" s="295"/>
      <c r="D427" s="296"/>
      <c r="E427" s="49" t="s">
        <v>319</v>
      </c>
      <c r="F427" s="1122" t="s">
        <v>432</v>
      </c>
      <c r="G427" s="1123"/>
      <c r="H427" s="46">
        <v>1</v>
      </c>
      <c r="I427" s="630">
        <f t="shared" si="21"/>
        <v>0</v>
      </c>
      <c r="J427" s="631">
        <f t="shared" si="22"/>
        <v>0</v>
      </c>
      <c r="K427" s="167">
        <f t="shared" si="23"/>
        <v>0</v>
      </c>
      <c r="L427" s="1138"/>
      <c r="M427" s="715"/>
      <c r="N427" s="208"/>
      <c r="O427" s="257" t="str">
        <f>HYPERLINK("https://living-future.org/declare/declare-about/red-list/","Living Future: Red List Chemicals to Avoid")</f>
        <v>Living Future: Red List Chemicals to Avoid</v>
      </c>
      <c r="P427" s="38"/>
      <c r="Q427" s="208"/>
      <c r="R427" s="208"/>
      <c r="S427" s="208"/>
      <c r="T427" s="208"/>
    </row>
    <row r="428" spans="1:20" s="251" customFormat="1" ht="14.25" customHeight="1" x14ac:dyDescent="0.3">
      <c r="A428" s="293"/>
      <c r="B428" s="294"/>
      <c r="C428" s="295"/>
      <c r="D428" s="296"/>
      <c r="E428" s="49" t="s">
        <v>320</v>
      </c>
      <c r="F428" s="1122" t="s">
        <v>434</v>
      </c>
      <c r="G428" s="1123"/>
      <c r="H428" s="46">
        <v>2</v>
      </c>
      <c r="I428" s="630">
        <f t="shared" si="21"/>
        <v>0</v>
      </c>
      <c r="J428" s="631">
        <f t="shared" si="22"/>
        <v>0</v>
      </c>
      <c r="K428" s="167">
        <f t="shared" si="23"/>
        <v>0</v>
      </c>
      <c r="L428" s="1138"/>
      <c r="M428" s="721"/>
      <c r="N428" s="208"/>
      <c r="O428" s="257" t="str">
        <f>HYPERLINK("https://living-future.org/declare/?status=compliant","Living Future Compliant Products")</f>
        <v>Living Future Compliant Products</v>
      </c>
      <c r="P428" s="170"/>
      <c r="Q428" s="170"/>
      <c r="R428" s="170"/>
      <c r="S428" s="170"/>
      <c r="T428" s="170"/>
    </row>
    <row r="429" spans="1:20" s="251" customFormat="1" ht="14.25" customHeight="1" x14ac:dyDescent="0.3">
      <c r="A429" s="293"/>
      <c r="B429" s="294"/>
      <c r="C429" s="295"/>
      <c r="D429" s="296"/>
      <c r="E429" s="49" t="s">
        <v>321</v>
      </c>
      <c r="F429" s="1122" t="s">
        <v>437</v>
      </c>
      <c r="G429" s="1123"/>
      <c r="H429" s="46">
        <v>1</v>
      </c>
      <c r="I429" s="630">
        <f t="shared" si="21"/>
        <v>0</v>
      </c>
      <c r="J429" s="631">
        <f t="shared" si="22"/>
        <v>0</v>
      </c>
      <c r="K429" s="167">
        <f t="shared" si="23"/>
        <v>0</v>
      </c>
      <c r="L429" s="1138"/>
      <c r="M429" s="722"/>
      <c r="N429" s="208"/>
      <c r="O429" s="272"/>
      <c r="P429" s="272"/>
      <c r="Q429" s="272"/>
      <c r="R429" s="272"/>
      <c r="S429" s="272"/>
      <c r="T429" s="272"/>
    </row>
    <row r="430" spans="1:20" s="545" customFormat="1" ht="14.25" customHeight="1" x14ac:dyDescent="0.3">
      <c r="A430" s="293"/>
      <c r="B430" s="294"/>
      <c r="C430" s="295"/>
      <c r="D430" s="296"/>
      <c r="E430" s="49" t="s">
        <v>322</v>
      </c>
      <c r="F430" s="1122" t="s">
        <v>536</v>
      </c>
      <c r="G430" s="1123"/>
      <c r="H430" s="46">
        <v>1</v>
      </c>
      <c r="I430" s="630">
        <f t="shared" ref="I430" si="24">IF(AND(OR(A430="x", A430="p"),NOT(B430="n")),H430,0)</f>
        <v>0</v>
      </c>
      <c r="J430" s="631">
        <f t="shared" ref="J430" si="25">IF(OR(D430="m", C430="y"),H430,0)</f>
        <v>0</v>
      </c>
      <c r="K430" s="167">
        <f t="shared" ref="K430" si="26">IF(AND(J430&gt;0,C430="y"),H430,0)</f>
        <v>0</v>
      </c>
      <c r="L430" s="1138"/>
      <c r="M430" s="722"/>
      <c r="N430" s="546"/>
      <c r="O430" s="546"/>
      <c r="P430" s="546"/>
      <c r="Q430" s="546"/>
      <c r="R430" s="546"/>
      <c r="S430" s="546"/>
      <c r="T430" s="546"/>
    </row>
    <row r="431" spans="1:20" s="251" customFormat="1" ht="14.25" customHeight="1" x14ac:dyDescent="0.3">
      <c r="A431" s="293"/>
      <c r="B431" s="294"/>
      <c r="C431" s="295"/>
      <c r="D431" s="296"/>
      <c r="E431" s="49" t="s">
        <v>323</v>
      </c>
      <c r="F431" s="1122" t="s">
        <v>435</v>
      </c>
      <c r="G431" s="1123"/>
      <c r="H431" s="46">
        <v>1</v>
      </c>
      <c r="I431" s="630">
        <f t="shared" si="21"/>
        <v>0</v>
      </c>
      <c r="J431" s="631">
        <f t="shared" si="22"/>
        <v>0</v>
      </c>
      <c r="K431" s="167">
        <f t="shared" si="23"/>
        <v>0</v>
      </c>
      <c r="L431" s="1138"/>
      <c r="M431" s="723"/>
      <c r="N431" s="208"/>
      <c r="O431" s="272"/>
      <c r="P431" s="272"/>
      <c r="Q431" s="272"/>
      <c r="R431" s="272"/>
      <c r="S431" s="272"/>
      <c r="T431" s="272"/>
    </row>
    <row r="432" spans="1:20" s="251" customFormat="1" ht="14.25" customHeight="1" x14ac:dyDescent="0.3">
      <c r="A432" s="293"/>
      <c r="B432" s="294"/>
      <c r="C432" s="295"/>
      <c r="D432" s="296"/>
      <c r="E432" s="49" t="s">
        <v>324</v>
      </c>
      <c r="F432" s="1140" t="s">
        <v>436</v>
      </c>
      <c r="G432" s="1141"/>
      <c r="H432" s="46">
        <v>1</v>
      </c>
      <c r="I432" s="630">
        <f t="shared" si="21"/>
        <v>0</v>
      </c>
      <c r="J432" s="631">
        <f t="shared" si="22"/>
        <v>0</v>
      </c>
      <c r="K432" s="167">
        <f t="shared" si="23"/>
        <v>0</v>
      </c>
      <c r="L432" s="1138"/>
      <c r="M432" s="421"/>
      <c r="N432" s="208"/>
      <c r="O432" s="272"/>
      <c r="P432" s="272"/>
      <c r="Q432" s="272"/>
      <c r="R432" s="272"/>
      <c r="S432" s="272"/>
      <c r="T432" s="272"/>
    </row>
    <row r="433" spans="1:20" s="269" customFormat="1" ht="14.25" customHeight="1" x14ac:dyDescent="0.3">
      <c r="A433" s="293"/>
      <c r="B433" s="294"/>
      <c r="C433" s="295"/>
      <c r="D433" s="296"/>
      <c r="E433" s="49" t="s">
        <v>379</v>
      </c>
      <c r="F433" s="1135" t="s">
        <v>492</v>
      </c>
      <c r="G433" s="1136"/>
      <c r="H433" s="46">
        <v>1</v>
      </c>
      <c r="I433" s="630">
        <f>IF(AND(OR(A433="x", A433="p"),NOT(B433="n")),H433,0)</f>
        <v>0</v>
      </c>
      <c r="J433" s="631">
        <f>IF(OR(D433="m", C433="y"),H433,0)</f>
        <v>0</v>
      </c>
      <c r="K433" s="167">
        <f>IF(AND(J433&gt;0,C433="y"),H433,0)</f>
        <v>0</v>
      </c>
      <c r="L433" s="1138"/>
      <c r="M433" s="421"/>
      <c r="N433" s="272"/>
      <c r="O433" s="272"/>
      <c r="P433" s="272"/>
      <c r="Q433" s="272"/>
      <c r="R433" s="272"/>
      <c r="S433" s="272"/>
      <c r="T433" s="272"/>
    </row>
    <row r="434" spans="1:20" s="251" customFormat="1" ht="14.25" customHeight="1" x14ac:dyDescent="0.3">
      <c r="A434" s="293"/>
      <c r="B434" s="294"/>
      <c r="C434" s="295"/>
      <c r="D434" s="296"/>
      <c r="E434" s="49" t="s">
        <v>381</v>
      </c>
      <c r="F434" s="1135" t="s">
        <v>491</v>
      </c>
      <c r="G434" s="1136"/>
      <c r="H434" s="46">
        <v>1</v>
      </c>
      <c r="I434" s="630">
        <f t="shared" si="21"/>
        <v>0</v>
      </c>
      <c r="J434" s="631">
        <f t="shared" si="22"/>
        <v>0</v>
      </c>
      <c r="K434" s="167">
        <f t="shared" si="23"/>
        <v>0</v>
      </c>
      <c r="L434" s="1139"/>
      <c r="M434" s="421"/>
      <c r="N434" s="208"/>
      <c r="O434" s="208"/>
      <c r="P434" s="208"/>
      <c r="Q434" s="208"/>
      <c r="R434" s="208"/>
      <c r="S434" s="208"/>
      <c r="T434" s="208"/>
    </row>
    <row r="435" spans="1:20" s="251" customFormat="1" ht="14.25" customHeight="1" x14ac:dyDescent="0.3">
      <c r="A435" s="301"/>
      <c r="B435" s="302"/>
      <c r="C435" s="303"/>
      <c r="D435" s="304"/>
      <c r="E435" s="171">
        <v>18</v>
      </c>
      <c r="F435" s="1073" t="s">
        <v>325</v>
      </c>
      <c r="G435" s="1026"/>
      <c r="H435" s="127">
        <v>2</v>
      </c>
      <c r="I435" s="40">
        <f>IF(AND(OR(A435="x", A435="p"),NOT(B435="n")),H435,0)</f>
        <v>0</v>
      </c>
      <c r="J435" s="41">
        <f>IF(OR(D435="m", C435="y"),H435,0)</f>
        <v>0</v>
      </c>
      <c r="K435" s="35">
        <f>IF(AND(J435&gt;0,C435="y"),H435,0)</f>
        <v>0</v>
      </c>
      <c r="L435" s="18" t="s">
        <v>326</v>
      </c>
      <c r="M435" s="702"/>
      <c r="N435" s="206"/>
      <c r="O435" s="206"/>
      <c r="P435" s="208"/>
      <c r="Q435" s="208"/>
      <c r="R435" s="208"/>
      <c r="S435" s="208"/>
      <c r="T435" s="208"/>
    </row>
    <row r="436" spans="1:20" s="251" customFormat="1" ht="29.25" customHeight="1" thickBot="1" x14ac:dyDescent="0.35">
      <c r="A436" s="332"/>
      <c r="B436" s="333"/>
      <c r="C436" s="334"/>
      <c r="D436" s="335"/>
      <c r="E436" s="172">
        <v>20</v>
      </c>
      <c r="F436" s="1113" t="s">
        <v>127</v>
      </c>
      <c r="G436" s="1072"/>
      <c r="H436" s="398" t="s">
        <v>128</v>
      </c>
      <c r="I436" s="636">
        <f>IF(AND(OR(A436="x", A436="p"),NOT(B436="n"), H436&lt;=7),H436,0)</f>
        <v>0</v>
      </c>
      <c r="J436" s="144">
        <f>IF(AND(OR(D436="m", C436="y"), H436&lt;=7),H436,0)</f>
        <v>0</v>
      </c>
      <c r="K436" s="39">
        <f>IF(AND(J436&gt;0,C436="y"),H436,0)</f>
        <v>0</v>
      </c>
      <c r="L436" s="207" t="s">
        <v>153</v>
      </c>
      <c r="M436" s="702"/>
      <c r="N436" s="208"/>
      <c r="O436" s="208"/>
      <c r="P436" s="206"/>
      <c r="Q436" s="206"/>
      <c r="R436" s="206"/>
      <c r="S436" s="206"/>
      <c r="T436" s="206"/>
    </row>
    <row r="437" spans="1:20" s="251" customFormat="1" ht="14.25" customHeight="1" thickTop="1" thickBot="1" x14ac:dyDescent="0.35">
      <c r="A437" s="1041" t="s">
        <v>489</v>
      </c>
      <c r="B437" s="1042"/>
      <c r="C437" s="1042"/>
      <c r="D437" s="1042"/>
      <c r="E437" s="1042"/>
      <c r="F437" s="1042"/>
      <c r="G437" s="1042"/>
      <c r="H437" s="1043"/>
      <c r="I437" s="644">
        <f>SUM(I385:I436)</f>
        <v>0</v>
      </c>
      <c r="J437" s="644">
        <f>SUM(J385:J436)</f>
        <v>0</v>
      </c>
      <c r="K437" s="157">
        <f>SUM(K385:K436)</f>
        <v>0</v>
      </c>
      <c r="L437" s="118"/>
      <c r="M437" s="173"/>
      <c r="N437" s="206"/>
      <c r="O437" s="206"/>
      <c r="P437" s="206"/>
      <c r="Q437" s="206"/>
      <c r="R437" s="206"/>
      <c r="S437" s="206"/>
      <c r="T437" s="206"/>
    </row>
    <row r="438" spans="1:20" s="425" customFormat="1" ht="35.15" customHeight="1" thickTop="1" thickBot="1" x14ac:dyDescent="0.35">
      <c r="A438" s="1146" t="s">
        <v>40</v>
      </c>
      <c r="B438" s="1147"/>
      <c r="C438" s="1147"/>
      <c r="D438" s="1147"/>
      <c r="E438" s="1147"/>
      <c r="F438" s="1147"/>
      <c r="G438" s="1147"/>
      <c r="H438" s="1147"/>
      <c r="I438" s="1147"/>
      <c r="J438" s="1147"/>
      <c r="K438" s="1147"/>
      <c r="L438" s="1147"/>
      <c r="M438" s="1147"/>
      <c r="N438" s="424"/>
      <c r="O438" s="282"/>
      <c r="P438" s="282"/>
      <c r="Q438" s="282"/>
      <c r="R438" s="282"/>
      <c r="S438" s="282"/>
      <c r="T438" s="282"/>
    </row>
    <row r="439" spans="1:20" s="251" customFormat="1" ht="12.75" customHeight="1" thickBot="1" x14ac:dyDescent="0.35">
      <c r="A439" s="20"/>
      <c r="B439" s="21"/>
      <c r="C439" s="22"/>
      <c r="D439" s="23"/>
      <c r="E439" s="1116" t="s">
        <v>661</v>
      </c>
      <c r="F439" s="1117"/>
      <c r="G439" s="1118"/>
      <c r="H439" s="1114" t="s">
        <v>69</v>
      </c>
      <c r="I439" s="1133" t="s">
        <v>70</v>
      </c>
      <c r="J439" s="1134"/>
      <c r="K439" s="557"/>
      <c r="L439" s="1080" t="s">
        <v>71</v>
      </c>
      <c r="M439" s="1082" t="s">
        <v>155</v>
      </c>
      <c r="N439" s="3"/>
      <c r="O439" s="206"/>
      <c r="P439" s="206"/>
      <c r="Q439" s="206"/>
      <c r="R439" s="206"/>
      <c r="S439" s="206"/>
      <c r="T439" s="206"/>
    </row>
    <row r="440" spans="1:20" s="251" customFormat="1" ht="16" thickBot="1" x14ac:dyDescent="0.35">
      <c r="A440" s="25" t="s">
        <v>0</v>
      </c>
      <c r="B440" s="26" t="s">
        <v>1</v>
      </c>
      <c r="C440" s="27" t="s">
        <v>73</v>
      </c>
      <c r="D440" s="28" t="s">
        <v>74</v>
      </c>
      <c r="E440" s="1119"/>
      <c r="F440" s="1120"/>
      <c r="G440" s="1121"/>
      <c r="H440" s="1115"/>
      <c r="I440" s="627" t="s">
        <v>75</v>
      </c>
      <c r="J440" s="628" t="s">
        <v>76</v>
      </c>
      <c r="K440" s="558"/>
      <c r="L440" s="1081"/>
      <c r="M440" s="1083"/>
      <c r="N440" s="3"/>
      <c r="O440" s="206"/>
      <c r="P440" s="208"/>
      <c r="Q440" s="208"/>
      <c r="R440" s="208"/>
      <c r="S440" s="208"/>
      <c r="T440" s="208"/>
    </row>
    <row r="441" spans="1:20" s="733" customFormat="1" ht="16" thickBot="1" x14ac:dyDescent="0.35">
      <c r="A441" s="769"/>
      <c r="B441" s="770"/>
      <c r="C441" s="771"/>
      <c r="D441" s="1126" t="s">
        <v>582</v>
      </c>
      <c r="E441" s="1126"/>
      <c r="F441" s="1126"/>
      <c r="G441" s="1127"/>
      <c r="H441" s="772"/>
      <c r="I441" s="773"/>
      <c r="J441" s="774"/>
      <c r="K441" s="775"/>
      <c r="L441" s="776"/>
      <c r="M441" s="777"/>
      <c r="N441" s="3"/>
      <c r="O441" s="742"/>
      <c r="P441" s="735"/>
      <c r="Q441" s="735"/>
      <c r="R441" s="735"/>
      <c r="S441" s="735"/>
      <c r="T441" s="735"/>
    </row>
    <row r="442" spans="1:20" s="251" customFormat="1" ht="28.5" customHeight="1" x14ac:dyDescent="0.3">
      <c r="A442" s="984"/>
      <c r="B442" s="985"/>
      <c r="C442" s="986"/>
      <c r="D442" s="987"/>
      <c r="E442" s="82">
        <v>1</v>
      </c>
      <c r="F442" s="1166" t="s">
        <v>627</v>
      </c>
      <c r="G442" s="1167"/>
      <c r="H442" s="1008" t="s">
        <v>571</v>
      </c>
      <c r="I442" s="1009">
        <f>IF(AND(OR(A442="x", A442="p"),NOT(B442="n")),H442,0)</f>
        <v>0</v>
      </c>
      <c r="J442" s="1007">
        <f>IF(OR(D442="m", C442="y"),H442,0)</f>
        <v>0</v>
      </c>
      <c r="K442" s="1164">
        <f>IF(AND(OR(C443="y"),F443&gt;0),IF(F443&lt;2500,MIN(ROUNDDOWN(((2500-F443)/100),0),25),0),0)</f>
        <v>0</v>
      </c>
      <c r="L442" s="989" t="s">
        <v>583</v>
      </c>
      <c r="M442" s="990"/>
      <c r="N442" s="208"/>
      <c r="O442" s="208"/>
      <c r="P442" s="208"/>
      <c r="Q442" s="208"/>
      <c r="R442" s="208"/>
      <c r="S442" s="208"/>
      <c r="T442" s="208"/>
    </row>
    <row r="443" spans="1:20" s="251" customFormat="1" ht="33" customHeight="1" thickBot="1" x14ac:dyDescent="0.35">
      <c r="A443" s="999"/>
      <c r="B443" s="1000"/>
      <c r="C443" s="1001"/>
      <c r="D443" s="1002"/>
      <c r="E443" s="174">
        <v>2</v>
      </c>
      <c r="F443" s="1263" t="s">
        <v>670</v>
      </c>
      <c r="G443" s="1264"/>
      <c r="H443" s="1105" t="s">
        <v>671</v>
      </c>
      <c r="I443" s="1168">
        <f>IF(AND(A444="p",ISNUMBER(F444),F444&gt;0), MIN(20,ROUNDDOWN((F444/10)*2,0)),0)</f>
        <v>0</v>
      </c>
      <c r="J443" s="1170"/>
      <c r="K443" s="1165"/>
      <c r="L443" s="1716" t="s">
        <v>672</v>
      </c>
      <c r="M443" s="1718"/>
      <c r="N443" s="208"/>
      <c r="O443" s="12"/>
      <c r="P443" s="208"/>
      <c r="Q443" s="208"/>
      <c r="R443" s="208"/>
      <c r="S443" s="208"/>
      <c r="T443" s="208"/>
    </row>
    <row r="444" spans="1:20" s="733" customFormat="1" ht="33" customHeight="1" thickBot="1" x14ac:dyDescent="0.35">
      <c r="A444" s="363"/>
      <c r="B444" s="364"/>
      <c r="C444" s="983"/>
      <c r="D444" s="366"/>
      <c r="E444" s="778"/>
      <c r="F444" s="988"/>
      <c r="G444" s="1018" t="s">
        <v>669</v>
      </c>
      <c r="H444" s="1715"/>
      <c r="I444" s="1169"/>
      <c r="J444" s="1171"/>
      <c r="K444" s="754"/>
      <c r="L444" s="1717"/>
      <c r="M444" s="1719"/>
      <c r="N444" s="735"/>
      <c r="O444" s="12"/>
      <c r="P444" s="735"/>
      <c r="Q444" s="735"/>
      <c r="R444" s="735"/>
      <c r="S444" s="735"/>
      <c r="T444" s="735"/>
    </row>
    <row r="445" spans="1:20" s="430" customFormat="1" ht="15" customHeight="1" thickBot="1" x14ac:dyDescent="0.35">
      <c r="A445" s="446"/>
      <c r="B445" s="448"/>
      <c r="C445" s="448"/>
      <c r="D445" s="1124" t="s">
        <v>327</v>
      </c>
      <c r="E445" s="1124"/>
      <c r="F445" s="1124"/>
      <c r="G445" s="1125"/>
      <c r="H445" s="66"/>
      <c r="I445" s="67"/>
      <c r="J445" s="653"/>
      <c r="K445" s="39"/>
      <c r="L445" s="461"/>
      <c r="M445" s="462"/>
      <c r="N445" s="12"/>
      <c r="O445" s="12"/>
      <c r="P445" s="12"/>
      <c r="Q445" s="12"/>
      <c r="R445" s="12"/>
      <c r="S445" s="12"/>
      <c r="T445" s="12"/>
    </row>
    <row r="446" spans="1:20" s="251" customFormat="1" ht="18" customHeight="1" x14ac:dyDescent="0.3">
      <c r="A446" s="301"/>
      <c r="B446" s="302"/>
      <c r="C446" s="303"/>
      <c r="D446" s="304"/>
      <c r="E446" s="90">
        <v>3</v>
      </c>
      <c r="F446" s="1073" t="s">
        <v>328</v>
      </c>
      <c r="G446" s="1026"/>
      <c r="H446" s="127">
        <v>2</v>
      </c>
      <c r="I446" s="40">
        <f>IF(AND(OR(A446="x", A446="p"),NOT(B446="n")),H446,0)</f>
        <v>0</v>
      </c>
      <c r="J446" s="41">
        <f>IF(OR(D446="m", C446="y"),H446,0)</f>
        <v>0</v>
      </c>
      <c r="K446" s="39">
        <f>IF(AND(J446&gt;0,C446="y"),H446,0)</f>
        <v>0</v>
      </c>
      <c r="L446" s="18" t="s">
        <v>329</v>
      </c>
      <c r="M446" s="277"/>
      <c r="N446" s="206"/>
      <c r="O446" s="206"/>
      <c r="P446" s="206"/>
      <c r="Q446" s="206"/>
      <c r="R446" s="206"/>
      <c r="S446" s="206"/>
      <c r="T446" s="206"/>
    </row>
    <row r="447" spans="1:20" s="251" customFormat="1" ht="42" x14ac:dyDescent="0.3">
      <c r="A447" s="359"/>
      <c r="B447" s="360"/>
      <c r="C447" s="361"/>
      <c r="D447" s="362"/>
      <c r="E447" s="176">
        <v>4</v>
      </c>
      <c r="F447" s="1046" t="s">
        <v>330</v>
      </c>
      <c r="G447" s="1047"/>
      <c r="H447" s="177">
        <v>3</v>
      </c>
      <c r="I447" s="659">
        <f>IF(AND(OR(A447="x", A447="p"),NOT(B447="n")),H447,0)</f>
        <v>0</v>
      </c>
      <c r="J447" s="629">
        <f>IF(OR(D447="m", C447="y"),H447,0)</f>
        <v>0</v>
      </c>
      <c r="K447" s="39">
        <f>IF(AND(J447&gt;0,C447="y"),H447,0)</f>
        <v>0</v>
      </c>
      <c r="L447" s="18" t="s">
        <v>416</v>
      </c>
      <c r="M447" s="703"/>
      <c r="N447" s="206"/>
      <c r="O447" s="206"/>
      <c r="P447" s="206"/>
      <c r="Q447" s="206"/>
      <c r="R447" s="206"/>
      <c r="S447" s="206"/>
      <c r="T447" s="206"/>
    </row>
    <row r="448" spans="1:20" s="251" customFormat="1" ht="30" customHeight="1" x14ac:dyDescent="0.3">
      <c r="A448" s="971"/>
      <c r="B448" s="972"/>
      <c r="C448" s="972"/>
      <c r="D448" s="973"/>
      <c r="E448" s="178">
        <v>5</v>
      </c>
      <c r="F448" s="1265" t="s">
        <v>528</v>
      </c>
      <c r="G448" s="1266"/>
      <c r="H448" s="179"/>
      <c r="I448" s="690"/>
      <c r="J448" s="691"/>
      <c r="K448" s="180"/>
      <c r="L448" s="1160" t="s">
        <v>331</v>
      </c>
      <c r="M448" s="382"/>
      <c r="N448" s="206"/>
      <c r="O448" s="1021" t="s">
        <v>28</v>
      </c>
      <c r="P448" s="1022"/>
      <c r="Q448" s="1022"/>
      <c r="R448" s="1022"/>
      <c r="S448" s="1022"/>
      <c r="T448" s="206"/>
    </row>
    <row r="449" spans="1:20" s="251" customFormat="1" ht="14" x14ac:dyDescent="0.3">
      <c r="A449" s="399"/>
      <c r="B449" s="400"/>
      <c r="C449" s="401"/>
      <c r="D449" s="402"/>
      <c r="E449" s="181" t="s">
        <v>79</v>
      </c>
      <c r="F449" s="1189" t="s">
        <v>454</v>
      </c>
      <c r="G449" s="1123"/>
      <c r="H449" s="1019">
        <v>4</v>
      </c>
      <c r="I449" s="630">
        <f t="shared" ref="I449:I455" si="27">IF(AND(OR(A449="x", A449="p"),NOT(B449="n")),H449,0)</f>
        <v>0</v>
      </c>
      <c r="J449" s="631">
        <f t="shared" ref="J449:J455" si="28">IF(OR(D449="m", C449="y"),H449,0)</f>
        <v>0</v>
      </c>
      <c r="K449" s="183">
        <f t="shared" ref="K449:K454" si="29">IF(AND(J449&gt;0,C449="y"),H449,0)</f>
        <v>0</v>
      </c>
      <c r="L449" s="1161"/>
      <c r="M449" s="719"/>
      <c r="N449" s="206"/>
      <c r="O449" s="209" t="str">
        <f>HYPERLINK("https://p2infohouse.org/ref/11/10171.pdf","Builders Field Guide to Residential Construction Waste")</f>
        <v>Builders Field Guide to Residential Construction Waste</v>
      </c>
      <c r="P449" s="225"/>
      <c r="Q449" s="225"/>
      <c r="R449" s="225"/>
      <c r="S449" s="225"/>
      <c r="T449" s="225"/>
    </row>
    <row r="450" spans="1:20" s="251" customFormat="1" ht="14" x14ac:dyDescent="0.3">
      <c r="A450" s="394"/>
      <c r="B450" s="395"/>
      <c r="C450" s="396"/>
      <c r="D450" s="397"/>
      <c r="E450" s="184" t="s">
        <v>80</v>
      </c>
      <c r="F450" s="1267" t="s">
        <v>455</v>
      </c>
      <c r="G450" s="1040"/>
      <c r="H450" s="1019">
        <v>4</v>
      </c>
      <c r="I450" s="630">
        <f t="shared" si="27"/>
        <v>0</v>
      </c>
      <c r="J450" s="631">
        <f t="shared" si="28"/>
        <v>0</v>
      </c>
      <c r="K450" s="183">
        <f t="shared" si="29"/>
        <v>0</v>
      </c>
      <c r="L450" s="1161"/>
      <c r="M450" s="719"/>
      <c r="N450" s="225"/>
      <c r="O450" s="225"/>
      <c r="P450" s="225"/>
      <c r="Q450" s="225"/>
      <c r="R450" s="225"/>
      <c r="S450" s="225"/>
      <c r="T450" s="225"/>
    </row>
    <row r="451" spans="1:20" s="251" customFormat="1" ht="14" x14ac:dyDescent="0.3">
      <c r="A451" s="394"/>
      <c r="B451" s="395"/>
      <c r="C451" s="396"/>
      <c r="D451" s="397"/>
      <c r="E451" s="184" t="s">
        <v>82</v>
      </c>
      <c r="F451" s="1267" t="s">
        <v>456</v>
      </c>
      <c r="G451" s="1040"/>
      <c r="H451" s="1019">
        <v>4</v>
      </c>
      <c r="I451" s="630">
        <f t="shared" si="27"/>
        <v>0</v>
      </c>
      <c r="J451" s="631">
        <f t="shared" si="28"/>
        <v>0</v>
      </c>
      <c r="K451" s="183">
        <f t="shared" si="29"/>
        <v>0</v>
      </c>
      <c r="L451" s="1161"/>
      <c r="M451" s="719"/>
      <c r="N451" s="225"/>
      <c r="O451" s="225"/>
      <c r="P451" s="225"/>
      <c r="Q451" s="225"/>
      <c r="R451" s="225"/>
      <c r="S451" s="225"/>
      <c r="T451" s="225"/>
    </row>
    <row r="452" spans="1:20" s="251" customFormat="1" ht="14" x14ac:dyDescent="0.3">
      <c r="A452" s="403"/>
      <c r="B452" s="404"/>
      <c r="C452" s="405"/>
      <c r="D452" s="406"/>
      <c r="E452" s="185" t="s">
        <v>83</v>
      </c>
      <c r="F452" s="1267" t="s">
        <v>457</v>
      </c>
      <c r="G452" s="1040"/>
      <c r="H452" s="1020">
        <v>4</v>
      </c>
      <c r="I452" s="630">
        <f t="shared" si="27"/>
        <v>0</v>
      </c>
      <c r="J452" s="631">
        <f t="shared" si="28"/>
        <v>0</v>
      </c>
      <c r="K452" s="183">
        <f t="shared" si="29"/>
        <v>0</v>
      </c>
      <c r="L452" s="1161"/>
      <c r="M452" s="717"/>
      <c r="N452" s="225"/>
      <c r="O452" s="225"/>
      <c r="P452" s="225"/>
      <c r="Q452" s="225"/>
      <c r="R452" s="225"/>
      <c r="S452" s="225"/>
      <c r="T452" s="225"/>
    </row>
    <row r="453" spans="1:20" s="251" customFormat="1" ht="14" x14ac:dyDescent="0.3">
      <c r="A453" s="403"/>
      <c r="B453" s="404"/>
      <c r="C453" s="405"/>
      <c r="D453" s="406"/>
      <c r="E453" s="185" t="s">
        <v>137</v>
      </c>
      <c r="F453" s="1268" t="s">
        <v>458</v>
      </c>
      <c r="G453" s="1036"/>
      <c r="H453" s="1020">
        <v>4</v>
      </c>
      <c r="I453" s="630">
        <f t="shared" si="27"/>
        <v>0</v>
      </c>
      <c r="J453" s="631">
        <f t="shared" si="28"/>
        <v>0</v>
      </c>
      <c r="K453" s="183">
        <f t="shared" si="29"/>
        <v>0</v>
      </c>
      <c r="L453" s="1161"/>
      <c r="M453" s="717"/>
      <c r="N453" s="225"/>
      <c r="O453" s="205"/>
      <c r="P453" s="225"/>
      <c r="Q453" s="225"/>
      <c r="R453" s="225"/>
      <c r="S453" s="225"/>
      <c r="T453" s="225"/>
    </row>
    <row r="454" spans="1:20" s="251" customFormat="1" ht="14" x14ac:dyDescent="0.3">
      <c r="A454" s="407"/>
      <c r="B454" s="408"/>
      <c r="C454" s="409"/>
      <c r="D454" s="410"/>
      <c r="E454" s="186" t="s">
        <v>134</v>
      </c>
      <c r="F454" s="1269" t="s">
        <v>385</v>
      </c>
      <c r="G454" s="1024"/>
      <c r="H454" s="1020">
        <v>4</v>
      </c>
      <c r="I454" s="642">
        <f t="shared" si="27"/>
        <v>0</v>
      </c>
      <c r="J454" s="666">
        <f t="shared" si="28"/>
        <v>0</v>
      </c>
      <c r="K454" s="183">
        <f t="shared" si="29"/>
        <v>0</v>
      </c>
      <c r="L454" s="1162"/>
      <c r="M454" s="717"/>
      <c r="N454" s="225"/>
      <c r="O454" s="225"/>
      <c r="P454" s="225"/>
      <c r="Q454" s="225"/>
      <c r="R454" s="225"/>
      <c r="S454" s="225"/>
      <c r="T454" s="225"/>
    </row>
    <row r="455" spans="1:20" s="251" customFormat="1" ht="27.75" customHeight="1" thickBot="1" x14ac:dyDescent="0.35">
      <c r="A455" s="369"/>
      <c r="B455" s="370"/>
      <c r="C455" s="371"/>
      <c r="D455" s="372"/>
      <c r="E455" s="45">
        <v>6</v>
      </c>
      <c r="F455" s="1270" t="s">
        <v>332</v>
      </c>
      <c r="G455" s="1271"/>
      <c r="H455" s="398"/>
      <c r="I455" s="692">
        <f t="shared" si="27"/>
        <v>0</v>
      </c>
      <c r="J455" s="144">
        <f t="shared" si="28"/>
        <v>0</v>
      </c>
      <c r="K455" s="31">
        <f>IF(AND(J455&gt;0,C455="y"),H455,0)</f>
        <v>0</v>
      </c>
      <c r="L455" s="207"/>
      <c r="M455" s="702"/>
      <c r="N455" s="208"/>
      <c r="O455" s="1021" t="s">
        <v>28</v>
      </c>
      <c r="P455" s="1022"/>
      <c r="Q455" s="1022"/>
      <c r="R455" s="1022"/>
      <c r="S455" s="1022"/>
      <c r="T455" s="208"/>
    </row>
    <row r="456" spans="1:20" s="444" customFormat="1" ht="21" customHeight="1" x14ac:dyDescent="0.3">
      <c r="A456" s="403"/>
      <c r="B456" s="404"/>
      <c r="C456" s="405"/>
      <c r="D456" s="406"/>
      <c r="E456" s="435"/>
      <c r="F456" s="531">
        <v>0</v>
      </c>
      <c r="G456" s="436" t="s">
        <v>333</v>
      </c>
      <c r="H456" s="437" t="s">
        <v>334</v>
      </c>
      <c r="I456" s="693">
        <f>IF(AND(NOT(B456="n"),A456="p",ISNUMBER(F456),F456&gt;-0.01),MIN(8,MAX(ROUNDDOWN(((4.667-F456)/4.667*10),0))),I10)</f>
        <v>0</v>
      </c>
      <c r="J456" s="694">
        <f>IF(AND(OR(C456="y",D456="m"),ISNUMBER(F456),F456&gt;-0.01),MIN(8,MAX(ROUNDDOWN(((4.667-F456)/4.667*10),0))),0)</f>
        <v>0</v>
      </c>
      <c r="K456" s="438">
        <f>IF(AND(OR(C456="y"),ISNUMBER(F456),F456&gt;-0.01),MIN(8,MAX(ROUNDDOWN(((4.667-F456)/4.667*10),0))),0)</f>
        <v>0</v>
      </c>
      <c r="L456" s="439" t="s">
        <v>335</v>
      </c>
      <c r="M456" s="718"/>
      <c r="N456" s="440"/>
      <c r="O456" s="441" t="str">
        <f>HYPERLINK("https://p2infohouse.org/ref/11/10171.pdf","Builders Field Guide to Residential Construction Waste")</f>
        <v>Builders Field Guide to Residential Construction Waste</v>
      </c>
      <c r="P456" s="442"/>
      <c r="Q456" s="442"/>
      <c r="R456" s="442"/>
      <c r="S456" s="443"/>
      <c r="T456" s="443"/>
    </row>
    <row r="457" spans="1:20" s="251" customFormat="1" ht="14.5" thickBot="1" x14ac:dyDescent="0.35">
      <c r="A457" s="431"/>
      <c r="B457" s="432"/>
      <c r="C457" s="433"/>
      <c r="D457" s="434"/>
      <c r="E457" s="187"/>
      <c r="F457" s="532">
        <v>0</v>
      </c>
      <c r="G457" s="267" t="s">
        <v>336</v>
      </c>
      <c r="H457" s="423" t="s">
        <v>337</v>
      </c>
      <c r="I457" s="681">
        <f>IF(AND(NOT(B457="n"),A457="p",NOT(I447&gt;0),ISNUMBER(F457),F457&gt;0),MIN(10,MAX(0,ROUNDDOWN(F457/10,0))),0)</f>
        <v>0</v>
      </c>
      <c r="J457" s="695">
        <f>IF(AND(OR(D457="m",C457="y"),ISNUMBER(F457),F457&gt;0),MIN(10,MAX(0,ROUNDDOWN(F457/10,0))),0)</f>
        <v>0</v>
      </c>
      <c r="K457" s="188">
        <f>IF(AND(OR(C457="y"),ISNUMBER(F457),F457&gt;0),MIN(10,MAX(0,ROUNDDOWN(F457/10,0))),0)</f>
        <v>0</v>
      </c>
      <c r="L457" s="189" t="s">
        <v>60</v>
      </c>
      <c r="M457" s="717"/>
      <c r="N457" s="208"/>
      <c r="O457" s="208"/>
      <c r="P457" s="206"/>
      <c r="Q457" s="206"/>
      <c r="R457" s="206"/>
      <c r="S457" s="206"/>
      <c r="T457" s="206"/>
    </row>
    <row r="458" spans="1:20" s="430" customFormat="1" ht="14.25" customHeight="1" thickBot="1" x14ac:dyDescent="0.35">
      <c r="A458" s="446"/>
      <c r="B458" s="448"/>
      <c r="C458" s="448"/>
      <c r="D458" s="451" t="s">
        <v>338</v>
      </c>
      <c r="E458" s="130"/>
      <c r="F458" s="131"/>
      <c r="G458" s="175"/>
      <c r="H458" s="66"/>
      <c r="I458" s="67"/>
      <c r="J458" s="637"/>
      <c r="K458" s="73"/>
      <c r="L458" s="461"/>
      <c r="M458" s="469"/>
      <c r="N458" s="8"/>
      <c r="O458" s="8"/>
      <c r="P458" s="8"/>
      <c r="Q458" s="8"/>
      <c r="R458" s="8"/>
      <c r="S458" s="8"/>
      <c r="T458" s="8"/>
    </row>
    <row r="459" spans="1:20" s="251" customFormat="1" ht="30.75" customHeight="1" x14ac:dyDescent="0.3">
      <c r="A459" s="301"/>
      <c r="B459" s="302"/>
      <c r="C459" s="303"/>
      <c r="D459" s="304"/>
      <c r="E459" s="34">
        <v>7</v>
      </c>
      <c r="F459" s="1272" t="s">
        <v>729</v>
      </c>
      <c r="G459" s="1273"/>
      <c r="H459" s="127">
        <v>1</v>
      </c>
      <c r="I459" s="40">
        <f t="shared" ref="I459:I469" si="30">IF(AND(OR(A459="x", A459="p"),NOT(B459="n")),H459,0)</f>
        <v>0</v>
      </c>
      <c r="J459" s="41">
        <f t="shared" ref="J459:J469" si="31">IF(OR(D459="m", C459="y"),H459,0)</f>
        <v>0</v>
      </c>
      <c r="K459" s="39">
        <f t="shared" ref="K459:K469" si="32">IF(AND(J459&gt;0,C459="y"),H459,0)</f>
        <v>0</v>
      </c>
      <c r="L459" s="18" t="s">
        <v>339</v>
      </c>
      <c r="M459" s="276"/>
      <c r="N459" s="206"/>
      <c r="O459" s="257" t="str">
        <f>HYPERLINK("https://www.energystar.gov/ia/partners/bldrs_lenders_raters/downloads/water_mgmt_sys_bldr_req.pdf","Energy Star Water Management Checklist")</f>
        <v>Energy Star Water Management Checklist</v>
      </c>
      <c r="P459" s="206"/>
      <c r="Q459" s="206"/>
      <c r="R459" s="206"/>
      <c r="S459" s="206"/>
      <c r="T459" s="206"/>
    </row>
    <row r="460" spans="1:20" s="251" customFormat="1" ht="14.25" customHeight="1" x14ac:dyDescent="0.3">
      <c r="A460" s="301"/>
      <c r="B460" s="302"/>
      <c r="C460" s="303"/>
      <c r="D460" s="304"/>
      <c r="E460" s="90">
        <v>8</v>
      </c>
      <c r="F460" s="1274" t="s">
        <v>340</v>
      </c>
      <c r="G460" s="1275"/>
      <c r="H460" s="127">
        <v>1</v>
      </c>
      <c r="I460" s="40">
        <f t="shared" si="30"/>
        <v>0</v>
      </c>
      <c r="J460" s="41">
        <f t="shared" si="31"/>
        <v>0</v>
      </c>
      <c r="K460" s="39">
        <f t="shared" si="32"/>
        <v>0</v>
      </c>
      <c r="L460" s="18" t="s">
        <v>220</v>
      </c>
      <c r="M460" s="276"/>
      <c r="N460" s="206"/>
      <c r="O460" s="254" t="str">
        <f>HYPERLINK("https://www.epa.gov/sites/production/files/2014-08/documents/moisture-control.pdf","EPA: Moisture Control Guidance")</f>
        <v>EPA: Moisture Control Guidance</v>
      </c>
      <c r="P460" s="206"/>
      <c r="Q460" s="206"/>
      <c r="R460" s="206"/>
      <c r="S460" s="206"/>
      <c r="T460" s="206"/>
    </row>
    <row r="461" spans="1:20" s="251" customFormat="1" ht="14.25" customHeight="1" x14ac:dyDescent="0.3">
      <c r="A461" s="301"/>
      <c r="B461" s="302"/>
      <c r="C461" s="303"/>
      <c r="D461" s="304"/>
      <c r="E461" s="90">
        <v>9</v>
      </c>
      <c r="F461" s="1025" t="s">
        <v>341</v>
      </c>
      <c r="G461" s="1026"/>
      <c r="H461" s="127">
        <v>2</v>
      </c>
      <c r="I461" s="40">
        <f t="shared" si="30"/>
        <v>0</v>
      </c>
      <c r="J461" s="41">
        <f t="shared" si="31"/>
        <v>0</v>
      </c>
      <c r="K461" s="39">
        <f t="shared" si="32"/>
        <v>0</v>
      </c>
      <c r="L461" s="18" t="s">
        <v>241</v>
      </c>
      <c r="M461" s="276"/>
      <c r="N461" s="206"/>
      <c r="O461" s="254" t="s">
        <v>342</v>
      </c>
      <c r="P461" s="206"/>
      <c r="Q461" s="206"/>
      <c r="R461" s="206"/>
      <c r="S461" s="206"/>
      <c r="T461" s="206"/>
    </row>
    <row r="462" spans="1:20" s="251" customFormat="1" ht="14.25" customHeight="1" x14ac:dyDescent="0.3">
      <c r="A462" s="301"/>
      <c r="B462" s="302"/>
      <c r="C462" s="303"/>
      <c r="D462" s="304"/>
      <c r="E462" s="90">
        <v>10</v>
      </c>
      <c r="F462" s="1025" t="s">
        <v>343</v>
      </c>
      <c r="G462" s="1026"/>
      <c r="H462" s="127">
        <v>2</v>
      </c>
      <c r="I462" s="40">
        <f t="shared" si="30"/>
        <v>0</v>
      </c>
      <c r="J462" s="41">
        <f t="shared" si="31"/>
        <v>0</v>
      </c>
      <c r="K462" s="39">
        <f t="shared" si="32"/>
        <v>0</v>
      </c>
      <c r="L462" s="18" t="s">
        <v>220</v>
      </c>
      <c r="M462" s="276"/>
      <c r="N462" s="206"/>
      <c r="O462" s="485" t="str">
        <f>HYPERLINK("https://foundationhandbook.ornl.gov/handbook/toc.shtml","Oak Ridge/DOE Foundation Wall Handbook")</f>
        <v>Oak Ridge/DOE Foundation Wall Handbook</v>
      </c>
      <c r="P462" s="483"/>
      <c r="Q462" s="483"/>
      <c r="R462" s="483"/>
      <c r="S462" s="486"/>
      <c r="T462" s="206"/>
    </row>
    <row r="463" spans="1:20" s="251" customFormat="1" ht="14.25" customHeight="1" x14ac:dyDescent="0.3">
      <c r="A463" s="332"/>
      <c r="B463" s="333"/>
      <c r="C463" s="334"/>
      <c r="D463" s="335"/>
      <c r="E463" s="86">
        <v>11</v>
      </c>
      <c r="F463" s="1025" t="s">
        <v>344</v>
      </c>
      <c r="G463" s="1026"/>
      <c r="H463" s="214">
        <v>2</v>
      </c>
      <c r="I463" s="636">
        <f t="shared" si="30"/>
        <v>0</v>
      </c>
      <c r="J463" s="144">
        <f t="shared" si="31"/>
        <v>0</v>
      </c>
      <c r="K463" s="31">
        <f t="shared" si="32"/>
        <v>0</v>
      </c>
      <c r="L463" s="207" t="s">
        <v>220</v>
      </c>
      <c r="M463" s="419"/>
      <c r="N463" s="206"/>
      <c r="O463" s="206"/>
      <c r="P463" s="38"/>
      <c r="Q463" s="38"/>
      <c r="R463" s="206"/>
      <c r="S463" s="206"/>
      <c r="T463" s="206"/>
    </row>
    <row r="464" spans="1:20" s="251" customFormat="1" ht="14" x14ac:dyDescent="0.3">
      <c r="A464" s="967"/>
      <c r="B464" s="302"/>
      <c r="C464" s="303"/>
      <c r="D464" s="304"/>
      <c r="E464" s="90">
        <v>12</v>
      </c>
      <c r="F464" s="1073" t="s">
        <v>345</v>
      </c>
      <c r="G464" s="1026"/>
      <c r="H464" s="127">
        <v>1</v>
      </c>
      <c r="I464" s="40">
        <f>IF(AND(OR(A465="x", A465="p"),NOT(B464="n")),H464,0)</f>
        <v>0</v>
      </c>
      <c r="J464" s="41">
        <f t="shared" si="31"/>
        <v>0</v>
      </c>
      <c r="K464" s="39">
        <f t="shared" si="32"/>
        <v>0</v>
      </c>
      <c r="L464" s="18" t="s">
        <v>478</v>
      </c>
      <c r="M464" s="277"/>
      <c r="N464" s="206"/>
      <c r="O464" s="1075" t="str">
        <f>HYPERLINK("https://www.epa.gov/sites/production/files/2014-08/documents/moisture-control.pdf","EPA: Moisture Control Guidance")</f>
        <v>EPA: Moisture Control Guidance</v>
      </c>
      <c r="P464" s="1022"/>
      <c r="Q464" s="1022"/>
      <c r="R464" s="1022"/>
      <c r="S464" s="206"/>
      <c r="T464" s="206"/>
    </row>
    <row r="465" spans="1:20" s="251" customFormat="1" ht="14" x14ac:dyDescent="0.3">
      <c r="A465" s="301"/>
      <c r="B465" s="302"/>
      <c r="C465" s="309"/>
      <c r="D465" s="310"/>
      <c r="E465" s="90">
        <v>13</v>
      </c>
      <c r="F465" s="1073" t="s">
        <v>477</v>
      </c>
      <c r="G465" s="1026"/>
      <c r="H465" s="127">
        <v>1</v>
      </c>
      <c r="I465" s="40">
        <f>IF(AND(OR(A466="x", A466="p"),NOT(B465="n")),H465,0)</f>
        <v>0</v>
      </c>
      <c r="J465" s="41">
        <f t="shared" si="31"/>
        <v>0</v>
      </c>
      <c r="K465" s="39">
        <f t="shared" si="32"/>
        <v>0</v>
      </c>
      <c r="L465" s="18" t="s">
        <v>97</v>
      </c>
      <c r="M465" s="276"/>
      <c r="N465" s="206"/>
      <c r="O465" s="1075" t="s">
        <v>346</v>
      </c>
      <c r="P465" s="1022"/>
      <c r="Q465" s="1022"/>
      <c r="R465" s="1022"/>
      <c r="S465" s="206"/>
      <c r="T465" s="206"/>
    </row>
    <row r="466" spans="1:20" s="251" customFormat="1" ht="14.25" customHeight="1" x14ac:dyDescent="0.3">
      <c r="A466" s="301"/>
      <c r="B466" s="302"/>
      <c r="C466" s="309"/>
      <c r="D466" s="310"/>
      <c r="E466" s="90">
        <v>14</v>
      </c>
      <c r="F466" s="1073" t="s">
        <v>347</v>
      </c>
      <c r="G466" s="1026"/>
      <c r="H466" s="127">
        <v>1</v>
      </c>
      <c r="I466" s="645">
        <f t="shared" si="30"/>
        <v>0</v>
      </c>
      <c r="J466" s="41">
        <f t="shared" si="31"/>
        <v>0</v>
      </c>
      <c r="K466" s="39">
        <f t="shared" si="32"/>
        <v>0</v>
      </c>
      <c r="L466" s="18" t="s">
        <v>60</v>
      </c>
      <c r="M466" s="276"/>
      <c r="N466" s="206"/>
      <c r="O466" s="206"/>
      <c r="P466" s="206"/>
      <c r="Q466" s="206"/>
      <c r="R466" s="206"/>
      <c r="S466" s="206"/>
      <c r="T466" s="206"/>
    </row>
    <row r="467" spans="1:20" s="251" customFormat="1" ht="14.25" customHeight="1" x14ac:dyDescent="0.3">
      <c r="A467" s="301"/>
      <c r="B467" s="302"/>
      <c r="C467" s="309"/>
      <c r="D467" s="310"/>
      <c r="E467" s="90">
        <v>15</v>
      </c>
      <c r="F467" s="1073" t="s">
        <v>348</v>
      </c>
      <c r="G467" s="1026"/>
      <c r="H467" s="127">
        <v>2</v>
      </c>
      <c r="I467" s="645">
        <f t="shared" si="30"/>
        <v>0</v>
      </c>
      <c r="J467" s="41">
        <f t="shared" si="31"/>
        <v>0</v>
      </c>
      <c r="K467" s="39">
        <f t="shared" si="32"/>
        <v>0</v>
      </c>
      <c r="L467" s="18" t="s">
        <v>60</v>
      </c>
      <c r="M467" s="277"/>
      <c r="N467" s="206"/>
      <c r="O467" s="206"/>
      <c r="P467" s="206"/>
      <c r="Q467" s="206"/>
      <c r="R467" s="206"/>
      <c r="S467" s="206"/>
      <c r="T467" s="206"/>
    </row>
    <row r="468" spans="1:20" s="251" customFormat="1" ht="24.75" customHeight="1" x14ac:dyDescent="0.3">
      <c r="A468" s="305"/>
      <c r="B468" s="306"/>
      <c r="C468" s="307"/>
      <c r="D468" s="308"/>
      <c r="E468" s="32">
        <v>16</v>
      </c>
      <c r="F468" s="1251" t="s">
        <v>349</v>
      </c>
      <c r="G468" s="1049"/>
      <c r="H468" s="220">
        <v>3</v>
      </c>
      <c r="I468" s="634">
        <f t="shared" si="30"/>
        <v>0</v>
      </c>
      <c r="J468" s="629">
        <f t="shared" si="31"/>
        <v>0</v>
      </c>
      <c r="K468" s="31">
        <f t="shared" si="32"/>
        <v>0</v>
      </c>
      <c r="L468" s="210" t="s">
        <v>117</v>
      </c>
      <c r="M468" s="420"/>
      <c r="N468" s="206"/>
      <c r="O468" s="254" t="s">
        <v>350</v>
      </c>
      <c r="P468" s="206"/>
      <c r="Q468" s="206"/>
      <c r="R468" s="206"/>
      <c r="S468" s="206"/>
      <c r="T468" s="206"/>
    </row>
    <row r="469" spans="1:20" s="251" customFormat="1" ht="14" x14ac:dyDescent="0.3">
      <c r="A469" s="301"/>
      <c r="B469" s="302"/>
      <c r="C469" s="303"/>
      <c r="D469" s="304"/>
      <c r="E469" s="100">
        <v>17</v>
      </c>
      <c r="F469" s="1246" t="s">
        <v>479</v>
      </c>
      <c r="G469" s="1026"/>
      <c r="H469" s="36">
        <v>3</v>
      </c>
      <c r="I469" s="40">
        <f t="shared" si="30"/>
        <v>0</v>
      </c>
      <c r="J469" s="41">
        <f t="shared" si="31"/>
        <v>0</v>
      </c>
      <c r="K469" s="39">
        <f t="shared" si="32"/>
        <v>0</v>
      </c>
      <c r="L469" s="18" t="s">
        <v>117</v>
      </c>
      <c r="M469" s="276"/>
      <c r="N469" s="208"/>
      <c r="O469" s="208"/>
      <c r="P469" s="208"/>
      <c r="Q469" s="208"/>
      <c r="R469" s="208"/>
      <c r="S469" s="208"/>
      <c r="T469" s="208"/>
    </row>
    <row r="470" spans="1:20" s="251" customFormat="1" ht="15" customHeight="1" x14ac:dyDescent="0.3">
      <c r="A470" s="842"/>
      <c r="B470" s="884"/>
      <c r="C470" s="840"/>
      <c r="D470" s="841"/>
      <c r="E470" s="86">
        <v>18</v>
      </c>
      <c r="F470" s="1046" t="s">
        <v>351</v>
      </c>
      <c r="G470" s="1047"/>
      <c r="H470" s="221"/>
      <c r="I470" s="143"/>
      <c r="J470" s="144"/>
      <c r="K470" s="39"/>
      <c r="L470" s="1027" t="s">
        <v>352</v>
      </c>
      <c r="M470" s="1030"/>
      <c r="N470" s="208"/>
      <c r="O470" s="208"/>
      <c r="P470" s="208"/>
      <c r="Q470" s="208"/>
      <c r="R470" s="208"/>
      <c r="S470" s="208"/>
      <c r="T470" s="208"/>
    </row>
    <row r="471" spans="1:20" s="251" customFormat="1" ht="14.25" customHeight="1" x14ac:dyDescent="0.3">
      <c r="A471" s="322"/>
      <c r="B471" s="323"/>
      <c r="C471" s="324"/>
      <c r="D471" s="325"/>
      <c r="E471" s="190" t="s">
        <v>79</v>
      </c>
      <c r="F471" s="1159" t="s">
        <v>353</v>
      </c>
      <c r="G471" s="1040"/>
      <c r="H471" s="191">
        <v>1</v>
      </c>
      <c r="I471" s="630">
        <f>IF(AND(OR(A471="x", A471="p"),NOT(OR(B471="n", A472="x", A472="p"))),H471,0)</f>
        <v>0</v>
      </c>
      <c r="J471" s="669">
        <f>IF(AND(OR(D471="m", C471="y"),NOT(D472="m"),NOT(C472="y")),H471,0)</f>
        <v>0</v>
      </c>
      <c r="K471" s="39">
        <f>IF(AND(J471&gt;0,C471="y"),H471,0)</f>
        <v>0</v>
      </c>
      <c r="L471" s="1028"/>
      <c r="M471" s="1031"/>
      <c r="N471" s="208"/>
      <c r="O471" s="208"/>
      <c r="P471" s="206"/>
      <c r="Q471" s="206"/>
      <c r="R471" s="206"/>
      <c r="S471" s="206"/>
      <c r="T471" s="206"/>
    </row>
    <row r="472" spans="1:20" s="251" customFormat="1" ht="14.25" customHeight="1" x14ac:dyDescent="0.3">
      <c r="A472" s="297"/>
      <c r="B472" s="298"/>
      <c r="C472" s="299"/>
      <c r="D472" s="300"/>
      <c r="E472" s="145" t="s">
        <v>80</v>
      </c>
      <c r="F472" s="1276" t="s">
        <v>354</v>
      </c>
      <c r="G472" s="1024"/>
      <c r="H472" s="147">
        <v>2</v>
      </c>
      <c r="I472" s="639">
        <f>IF(AND(OR(A472="x", A472="p"),NOT(OR(B472="n", A471="x", A471="p"))),H472,0)</f>
        <v>0</v>
      </c>
      <c r="J472" s="640">
        <f>IF(AND(OR(D472="m", C472="y"),NOT(D471="m"),NOT(C471="y")),H472,0)</f>
        <v>0</v>
      </c>
      <c r="K472" s="39">
        <f>IF(AND(J472&gt;0,C472="y"),H472,0)</f>
        <v>0</v>
      </c>
      <c r="L472" s="1028"/>
      <c r="M472" s="1031"/>
      <c r="N472" s="206"/>
      <c r="O472" s="206"/>
      <c r="P472" s="206"/>
      <c r="Q472" s="206"/>
      <c r="R472" s="206"/>
      <c r="S472" s="206"/>
      <c r="T472" s="206"/>
    </row>
    <row r="473" spans="1:20" s="251" customFormat="1" ht="14.25" customHeight="1" x14ac:dyDescent="0.3">
      <c r="A473" s="842"/>
      <c r="B473" s="884"/>
      <c r="C473" s="884"/>
      <c r="D473" s="844"/>
      <c r="E473" s="86">
        <v>19</v>
      </c>
      <c r="F473" s="1046" t="s">
        <v>355</v>
      </c>
      <c r="G473" s="1047"/>
      <c r="H473" s="221"/>
      <c r="I473" s="143"/>
      <c r="J473" s="144"/>
      <c r="K473" s="39"/>
      <c r="L473" s="1027" t="s">
        <v>352</v>
      </c>
      <c r="M473" s="1030"/>
      <c r="N473" s="206"/>
      <c r="O473" s="206"/>
      <c r="P473" s="206"/>
      <c r="Q473" s="206"/>
      <c r="R473" s="206"/>
      <c r="S473" s="206"/>
      <c r="T473" s="206"/>
    </row>
    <row r="474" spans="1:20" s="251" customFormat="1" ht="14.25" customHeight="1" x14ac:dyDescent="0.3">
      <c r="A474" s="322"/>
      <c r="B474" s="323"/>
      <c r="C474" s="324"/>
      <c r="D474" s="325"/>
      <c r="E474" s="190" t="s">
        <v>79</v>
      </c>
      <c r="F474" s="1159" t="s">
        <v>356</v>
      </c>
      <c r="G474" s="1040"/>
      <c r="H474" s="147">
        <v>1</v>
      </c>
      <c r="I474" s="630">
        <f>IF(AND(OR(A474="x", A474="p"),NOT(OR(B474="n", A475="x", A475="p"))),H474,0)</f>
        <v>0</v>
      </c>
      <c r="J474" s="638">
        <f>IF(AND(OR(D474="m", C474="y"),NOT(D475="m"),NOT(C475="y")),H474,0)</f>
        <v>0</v>
      </c>
      <c r="K474" s="39">
        <f t="shared" ref="K474:K479" si="33">IF(AND(J474&gt;0,C474="y"),H474,0)</f>
        <v>0</v>
      </c>
      <c r="L474" s="1028"/>
      <c r="M474" s="1031"/>
      <c r="N474" s="206"/>
      <c r="O474" s="206"/>
      <c r="P474" s="206"/>
      <c r="Q474" s="206"/>
      <c r="R474" s="206"/>
      <c r="S474" s="206"/>
      <c r="T474" s="206"/>
    </row>
    <row r="475" spans="1:20" s="251" customFormat="1" ht="14.25" customHeight="1" x14ac:dyDescent="0.3">
      <c r="A475" s="305"/>
      <c r="B475" s="306"/>
      <c r="C475" s="307"/>
      <c r="D475" s="308"/>
      <c r="E475" s="145" t="s">
        <v>80</v>
      </c>
      <c r="F475" s="1276" t="s">
        <v>357</v>
      </c>
      <c r="G475" s="1024"/>
      <c r="H475" s="191">
        <v>2</v>
      </c>
      <c r="I475" s="639">
        <f>IF(AND(OR(A475="x", A475="p"),NOT(OR(B475="n", A474="x", A474="p"))),H475,0)</f>
        <v>0</v>
      </c>
      <c r="J475" s="640">
        <f>IF(AND(OR(D475="m", C475="y"),NOT(D474="m"),NOT(C474="y")),H475,0)</f>
        <v>0</v>
      </c>
      <c r="K475" s="39">
        <f t="shared" si="33"/>
        <v>0</v>
      </c>
      <c r="L475" s="1034"/>
      <c r="M475" s="1091"/>
      <c r="N475" s="206"/>
      <c r="O475" s="206"/>
      <c r="P475" s="206"/>
      <c r="Q475" s="206"/>
      <c r="R475" s="206"/>
      <c r="S475" s="206"/>
      <c r="T475" s="206"/>
    </row>
    <row r="476" spans="1:20" s="251" customFormat="1" ht="14.25" customHeight="1" x14ac:dyDescent="0.3">
      <c r="A476" s="301"/>
      <c r="B476" s="302"/>
      <c r="C476" s="303"/>
      <c r="D476" s="304"/>
      <c r="E476" s="32">
        <v>20</v>
      </c>
      <c r="F476" s="1251" t="s">
        <v>358</v>
      </c>
      <c r="G476" s="1049"/>
      <c r="H476" s="36">
        <v>2</v>
      </c>
      <c r="I476" s="634">
        <f>IF(AND(OR(A476="x", A476="p"),NOT(B476="n")),H476,0)</f>
        <v>0</v>
      </c>
      <c r="J476" s="629">
        <f>IF(OR(D476="m", C476="y"),H476,0)</f>
        <v>0</v>
      </c>
      <c r="K476" s="31">
        <f t="shared" si="33"/>
        <v>0</v>
      </c>
      <c r="L476" s="210" t="s">
        <v>117</v>
      </c>
      <c r="M476" s="420"/>
      <c r="N476" s="206"/>
      <c r="O476" s="206"/>
      <c r="P476" s="208"/>
      <c r="Q476" s="208"/>
      <c r="R476" s="208"/>
      <c r="S476" s="208"/>
      <c r="T476" s="208"/>
    </row>
    <row r="477" spans="1:20" s="251" customFormat="1" ht="14.25" customHeight="1" x14ac:dyDescent="0.3">
      <c r="A477" s="332"/>
      <c r="B477" s="333"/>
      <c r="C477" s="334"/>
      <c r="D477" s="335"/>
      <c r="E477" s="222">
        <v>21</v>
      </c>
      <c r="F477" s="1252" t="s">
        <v>359</v>
      </c>
      <c r="G477" s="1047"/>
      <c r="H477" s="218">
        <v>2</v>
      </c>
      <c r="I477" s="636">
        <f>IF(AND(OR(A477="x", A477="p"),NOT(B477="n")),H477,0)</f>
        <v>0</v>
      </c>
      <c r="J477" s="144">
        <f>IF(OR(D477="m", C477="y"),H477,0)</f>
        <v>0</v>
      </c>
      <c r="K477" s="31">
        <f t="shared" si="33"/>
        <v>0</v>
      </c>
      <c r="L477" s="207" t="s">
        <v>117</v>
      </c>
      <c r="M477" s="419"/>
      <c r="N477" s="208"/>
      <c r="O477" s="208"/>
      <c r="P477" s="208"/>
      <c r="Q477" s="208"/>
      <c r="R477" s="208"/>
      <c r="S477" s="208"/>
      <c r="T477" s="208"/>
    </row>
    <row r="478" spans="1:20" s="251" customFormat="1" ht="12.75" customHeight="1" x14ac:dyDescent="0.3">
      <c r="A478" s="301"/>
      <c r="B478" s="302"/>
      <c r="C478" s="303"/>
      <c r="D478" s="304"/>
      <c r="E478" s="90">
        <v>22</v>
      </c>
      <c r="F478" s="1252" t="s">
        <v>360</v>
      </c>
      <c r="G478" s="1047"/>
      <c r="H478" s="127">
        <v>1</v>
      </c>
      <c r="I478" s="40">
        <f>IF(AND(OR(A478="x", A478="p"),NOT(B478="n")),H478,0)</f>
        <v>0</v>
      </c>
      <c r="J478" s="41">
        <f>IF(OR(D478="m", C478="y"),H478,0)</f>
        <v>0</v>
      </c>
      <c r="K478" s="39">
        <f t="shared" si="33"/>
        <v>0</v>
      </c>
      <c r="L478" s="18" t="s">
        <v>220</v>
      </c>
      <c r="M478" s="276"/>
      <c r="N478" s="206"/>
      <c r="O478" s="257" t="str">
        <f>HYPERLINK("https://basc.pnnl.gov/resource-guides/corrosion-proof-rodentbird-vent-screens","DOE Guidance: Rodent/Bird Screens")</f>
        <v>DOE Guidance: Rodent/Bird Screens</v>
      </c>
      <c r="P478" s="206"/>
      <c r="Q478" s="206"/>
      <c r="R478" s="206"/>
      <c r="S478" s="206"/>
      <c r="T478" s="206"/>
    </row>
    <row r="479" spans="1:20" s="251" customFormat="1" ht="12.75" customHeight="1" x14ac:dyDescent="0.3">
      <c r="A479" s="301"/>
      <c r="B479" s="302"/>
      <c r="C479" s="303"/>
      <c r="D479" s="304"/>
      <c r="E479" s="90">
        <v>23</v>
      </c>
      <c r="F479" s="1252" t="s">
        <v>361</v>
      </c>
      <c r="G479" s="1047"/>
      <c r="H479" s="127">
        <v>1</v>
      </c>
      <c r="I479" s="40">
        <f>IF(AND(OR(A479="x", A479="p"),NOT(B479="n")),H479,0)</f>
        <v>0</v>
      </c>
      <c r="J479" s="41">
        <f>IF(OR(D479="m", C479="y"),H479,0)</f>
        <v>0</v>
      </c>
      <c r="K479" s="39">
        <f t="shared" si="33"/>
        <v>0</v>
      </c>
      <c r="L479" s="18" t="s">
        <v>220</v>
      </c>
      <c r="M479" s="276"/>
      <c r="N479" s="206"/>
      <c r="O479" s="205"/>
      <c r="P479" s="206"/>
      <c r="Q479" s="206"/>
      <c r="R479" s="206"/>
      <c r="S479" s="206"/>
      <c r="T479" s="206"/>
    </row>
    <row r="480" spans="1:20" s="251" customFormat="1" ht="12.75" customHeight="1" thickBot="1" x14ac:dyDescent="0.35">
      <c r="A480" s="301"/>
      <c r="B480" s="302"/>
      <c r="C480" s="303"/>
      <c r="D480" s="304"/>
      <c r="E480" s="90">
        <v>24</v>
      </c>
      <c r="F480" s="1252" t="s">
        <v>654</v>
      </c>
      <c r="G480" s="1047"/>
      <c r="H480" s="127">
        <v>1</v>
      </c>
      <c r="I480" s="40">
        <f>IF(AND(OR(A480="x", A480="p"),NOT(B480="n")),H480,0)</f>
        <v>0</v>
      </c>
      <c r="J480" s="41">
        <f>IF(OR(D480="m", C480="y"),H480,0)</f>
        <v>0</v>
      </c>
      <c r="K480" s="39">
        <f>IF(AND(J480&gt;0,C480="y"),H480,0)</f>
        <v>0</v>
      </c>
      <c r="L480" s="18" t="s">
        <v>220</v>
      </c>
      <c r="M480" s="276"/>
      <c r="N480" s="206"/>
      <c r="O480" s="1163"/>
      <c r="P480" s="1022"/>
      <c r="Q480" s="1022"/>
      <c r="R480" s="1022"/>
      <c r="S480" s="1022"/>
      <c r="T480" s="1022"/>
    </row>
    <row r="481" spans="1:20" s="430" customFormat="1" ht="13.5" customHeight="1" thickBot="1" x14ac:dyDescent="0.35">
      <c r="A481" s="446"/>
      <c r="B481" s="448"/>
      <c r="C481" s="448"/>
      <c r="D481" s="451" t="s">
        <v>363</v>
      </c>
      <c r="E481" s="130"/>
      <c r="F481" s="481"/>
      <c r="G481" s="482"/>
      <c r="H481" s="66"/>
      <c r="I481" s="67"/>
      <c r="J481" s="653"/>
      <c r="K481" s="73"/>
      <c r="L481" s="461"/>
      <c r="M481" s="469"/>
      <c r="N481" s="12"/>
      <c r="O481" s="12"/>
      <c r="P481" s="8"/>
      <c r="Q481" s="8"/>
      <c r="R481" s="8"/>
      <c r="S481" s="8"/>
      <c r="T481" s="8"/>
    </row>
    <row r="482" spans="1:20" s="251" customFormat="1" ht="54" customHeight="1" x14ac:dyDescent="0.3">
      <c r="A482" s="842"/>
      <c r="B482" s="884"/>
      <c r="C482" s="884"/>
      <c r="D482" s="844"/>
      <c r="E482" s="163">
        <v>26</v>
      </c>
      <c r="F482" s="1244" t="s">
        <v>490</v>
      </c>
      <c r="G482" s="1245"/>
      <c r="H482" s="221"/>
      <c r="I482" s="143"/>
      <c r="J482" s="144"/>
      <c r="K482" s="35"/>
      <c r="L482" s="1027" t="s">
        <v>364</v>
      </c>
      <c r="M482" s="706"/>
      <c r="N482" s="206"/>
      <c r="O482" s="1050"/>
      <c r="P482" s="1022"/>
      <c r="Q482" s="1022"/>
      <c r="R482" s="1022"/>
      <c r="S482" s="206"/>
      <c r="T482" s="206"/>
    </row>
    <row r="483" spans="1:20" s="251" customFormat="1" ht="14.25" customHeight="1" x14ac:dyDescent="0.3">
      <c r="A483" s="411"/>
      <c r="B483" s="412"/>
      <c r="C483" s="413"/>
      <c r="D483" s="414"/>
      <c r="E483" s="190" t="s">
        <v>79</v>
      </c>
      <c r="F483" s="1155" t="s">
        <v>365</v>
      </c>
      <c r="G483" s="1156"/>
      <c r="H483" s="938">
        <v>4</v>
      </c>
      <c r="I483" s="630">
        <f t="shared" ref="I483:I512" si="34">IF(AND(OR(A483="x", A483="p"),NOT(B483="n")),H483,0)</f>
        <v>0</v>
      </c>
      <c r="J483" s="631">
        <f t="shared" ref="J483:J512" si="35">IF(OR(D483="m", C483="y"),H483,0)</f>
        <v>0</v>
      </c>
      <c r="K483" s="35">
        <f t="shared" ref="K483:K490" si="36">IF(AND(J483&gt;0,C483="y"),H483,0)</f>
        <v>0</v>
      </c>
      <c r="L483" s="1028"/>
      <c r="M483" s="421"/>
      <c r="N483" s="206"/>
      <c r="O483" s="1075" t="str">
        <f>HYPERLINK("https://www.greenbuilt.org/articles/maggie-leslie-choosing-green-materials/","Choosing Green Materials")</f>
        <v>Choosing Green Materials</v>
      </c>
      <c r="P483" s="1022"/>
      <c r="Q483" s="1022"/>
      <c r="R483" s="1022"/>
      <c r="S483" s="206"/>
      <c r="T483" s="206"/>
    </row>
    <row r="484" spans="1:20" s="251" customFormat="1" ht="15" customHeight="1" x14ac:dyDescent="0.3">
      <c r="A484" s="293"/>
      <c r="B484" s="294"/>
      <c r="C484" s="295"/>
      <c r="D484" s="296"/>
      <c r="E484" s="190" t="s">
        <v>80</v>
      </c>
      <c r="F484" s="1159" t="s">
        <v>366</v>
      </c>
      <c r="G484" s="1040"/>
      <c r="H484" s="147">
        <v>2</v>
      </c>
      <c r="I484" s="630">
        <f t="shared" si="34"/>
        <v>0</v>
      </c>
      <c r="J484" s="631">
        <f t="shared" si="35"/>
        <v>0</v>
      </c>
      <c r="K484" s="39">
        <f t="shared" si="36"/>
        <v>0</v>
      </c>
      <c r="L484" s="1028"/>
      <c r="M484" s="421"/>
      <c r="N484" s="206"/>
      <c r="O484" s="1148" t="str">
        <f>HYPERLINK("https://www.greenbuildingadvisor.com/article/product-guide","Building Green Product Guide")</f>
        <v>Building Green Product Guide</v>
      </c>
      <c r="P484" s="1022"/>
      <c r="Q484" s="1022"/>
      <c r="R484" s="1022"/>
      <c r="S484" s="206"/>
      <c r="T484" s="206"/>
    </row>
    <row r="485" spans="1:20" s="251" customFormat="1" ht="15" customHeight="1" x14ac:dyDescent="0.3">
      <c r="A485" s="293"/>
      <c r="B485" s="294"/>
      <c r="C485" s="295"/>
      <c r="D485" s="296"/>
      <c r="E485" s="190" t="s">
        <v>82</v>
      </c>
      <c r="F485" s="1159" t="s">
        <v>367</v>
      </c>
      <c r="G485" s="1040"/>
      <c r="H485" s="147">
        <v>2</v>
      </c>
      <c r="I485" s="630">
        <f t="shared" si="34"/>
        <v>0</v>
      </c>
      <c r="J485" s="631">
        <f t="shared" si="35"/>
        <v>0</v>
      </c>
      <c r="K485" s="39">
        <f t="shared" si="36"/>
        <v>0</v>
      </c>
      <c r="L485" s="1028"/>
      <c r="M485" s="421"/>
      <c r="N485" s="206"/>
      <c r="O485" s="254"/>
      <c r="P485" s="206"/>
      <c r="Q485" s="206"/>
      <c r="R485" s="206"/>
      <c r="S485" s="206"/>
      <c r="T485" s="206"/>
    </row>
    <row r="486" spans="1:20" s="251" customFormat="1" ht="15" customHeight="1" x14ac:dyDescent="0.3">
      <c r="A486" s="293"/>
      <c r="B486" s="294"/>
      <c r="C486" s="295"/>
      <c r="D486" s="296"/>
      <c r="E486" s="190" t="s">
        <v>83</v>
      </c>
      <c r="F486" s="1159" t="s">
        <v>368</v>
      </c>
      <c r="G486" s="1040"/>
      <c r="H486" s="147">
        <v>2</v>
      </c>
      <c r="I486" s="630">
        <f t="shared" si="34"/>
        <v>0</v>
      </c>
      <c r="J486" s="631">
        <f t="shared" si="35"/>
        <v>0</v>
      </c>
      <c r="K486" s="39">
        <f t="shared" si="36"/>
        <v>0</v>
      </c>
      <c r="L486" s="1028"/>
      <c r="M486" s="421"/>
      <c r="N486" s="206"/>
      <c r="P486" s="206"/>
      <c r="Q486" s="206"/>
      <c r="R486" s="206"/>
      <c r="S486" s="206"/>
      <c r="T486" s="206"/>
    </row>
    <row r="487" spans="1:20" s="251" customFormat="1" ht="15" customHeight="1" x14ac:dyDescent="0.3">
      <c r="A487" s="293"/>
      <c r="B487" s="294"/>
      <c r="C487" s="295"/>
      <c r="D487" s="296"/>
      <c r="E487" s="190" t="s">
        <v>137</v>
      </c>
      <c r="F487" s="1159" t="s">
        <v>369</v>
      </c>
      <c r="G487" s="1040"/>
      <c r="H487" s="147">
        <v>2</v>
      </c>
      <c r="I487" s="630">
        <f t="shared" si="34"/>
        <v>0</v>
      </c>
      <c r="J487" s="631">
        <f t="shared" si="35"/>
        <v>0</v>
      </c>
      <c r="K487" s="39">
        <f t="shared" si="36"/>
        <v>0</v>
      </c>
      <c r="L487" s="1028"/>
      <c r="M487" s="421"/>
      <c r="N487" s="206"/>
      <c r="P487" s="38"/>
      <c r="Q487" s="38"/>
      <c r="R487" s="38"/>
      <c r="S487" s="206"/>
      <c r="T487" s="206"/>
    </row>
    <row r="488" spans="1:20" s="251" customFormat="1" ht="14.25" customHeight="1" x14ac:dyDescent="0.3">
      <c r="A488" s="293"/>
      <c r="B488" s="294"/>
      <c r="C488" s="295"/>
      <c r="D488" s="296"/>
      <c r="E488" s="190" t="s">
        <v>134</v>
      </c>
      <c r="F488" s="1159" t="s">
        <v>370</v>
      </c>
      <c r="G488" s="1040"/>
      <c r="H488" s="147">
        <v>1</v>
      </c>
      <c r="I488" s="630">
        <f t="shared" si="34"/>
        <v>0</v>
      </c>
      <c r="J488" s="631">
        <f t="shared" si="35"/>
        <v>0</v>
      </c>
      <c r="K488" s="39">
        <f t="shared" si="36"/>
        <v>0</v>
      </c>
      <c r="L488" s="1028"/>
      <c r="M488" s="715"/>
      <c r="N488" s="206"/>
      <c r="O488" s="257"/>
      <c r="P488" s="206"/>
      <c r="Q488" s="206"/>
      <c r="R488" s="206"/>
      <c r="S488" s="206"/>
      <c r="T488" s="206"/>
    </row>
    <row r="489" spans="1:20" s="251" customFormat="1" ht="14.25" customHeight="1" x14ac:dyDescent="0.3">
      <c r="A489" s="293"/>
      <c r="B489" s="294"/>
      <c r="C489" s="295"/>
      <c r="D489" s="296"/>
      <c r="E489" s="190" t="s">
        <v>245</v>
      </c>
      <c r="F489" s="1159" t="s">
        <v>371</v>
      </c>
      <c r="G489" s="1040"/>
      <c r="H489" s="147">
        <v>1</v>
      </c>
      <c r="I489" s="630">
        <f t="shared" si="34"/>
        <v>0</v>
      </c>
      <c r="J489" s="631">
        <f t="shared" si="35"/>
        <v>0</v>
      </c>
      <c r="K489" s="39">
        <f t="shared" si="36"/>
        <v>0</v>
      </c>
      <c r="L489" s="1028"/>
      <c r="M489" s="715"/>
      <c r="N489" s="206"/>
      <c r="O489" s="206"/>
      <c r="P489" s="206"/>
      <c r="Q489" s="206"/>
      <c r="R489" s="206"/>
      <c r="S489" s="206"/>
      <c r="T489" s="206"/>
    </row>
    <row r="490" spans="1:20" s="251" customFormat="1" ht="15" customHeight="1" x14ac:dyDescent="0.3">
      <c r="A490" s="351"/>
      <c r="B490" s="352"/>
      <c r="C490" s="353"/>
      <c r="D490" s="354"/>
      <c r="E490" s="190" t="s">
        <v>317</v>
      </c>
      <c r="F490" s="1159" t="s">
        <v>546</v>
      </c>
      <c r="G490" s="1040"/>
      <c r="H490" s="147">
        <v>1</v>
      </c>
      <c r="I490" s="630">
        <f t="shared" si="34"/>
        <v>0</v>
      </c>
      <c r="J490" s="631">
        <f t="shared" si="35"/>
        <v>0</v>
      </c>
      <c r="K490" s="39">
        <f t="shared" si="36"/>
        <v>0</v>
      </c>
      <c r="L490" s="1028"/>
      <c r="M490" s="715"/>
      <c r="N490" s="206"/>
      <c r="O490" s="206"/>
      <c r="P490" s="206"/>
      <c r="Q490" s="206"/>
      <c r="R490" s="206"/>
      <c r="S490" s="206"/>
      <c r="T490" s="206"/>
    </row>
    <row r="491" spans="1:20" s="251" customFormat="1" ht="15" customHeight="1" x14ac:dyDescent="0.3">
      <c r="A491" s="293"/>
      <c r="B491" s="294"/>
      <c r="C491" s="295"/>
      <c r="D491" s="296"/>
      <c r="E491" s="190" t="s">
        <v>318</v>
      </c>
      <c r="F491" s="1159" t="s">
        <v>372</v>
      </c>
      <c r="G491" s="1040"/>
      <c r="H491" s="147">
        <v>2</v>
      </c>
      <c r="I491" s="630">
        <f t="shared" si="34"/>
        <v>0</v>
      </c>
      <c r="J491" s="631">
        <f t="shared" si="35"/>
        <v>0</v>
      </c>
      <c r="K491" s="39">
        <f t="shared" ref="K491:K502" si="37">IF(AND(J491&gt;0,C491="y"),H491,0)</f>
        <v>0</v>
      </c>
      <c r="L491" s="1028"/>
      <c r="M491" s="716"/>
      <c r="N491" s="206"/>
      <c r="O491" s="206"/>
      <c r="P491" s="206"/>
      <c r="Q491" s="206"/>
      <c r="R491" s="206"/>
      <c r="S491" s="206"/>
      <c r="T491" s="206"/>
    </row>
    <row r="492" spans="1:20" s="251" customFormat="1" ht="15" customHeight="1" x14ac:dyDescent="0.3">
      <c r="A492" s="415"/>
      <c r="B492" s="416"/>
      <c r="C492" s="417"/>
      <c r="D492" s="418"/>
      <c r="E492" s="190" t="s">
        <v>319</v>
      </c>
      <c r="F492" s="1159" t="s">
        <v>373</v>
      </c>
      <c r="G492" s="1040"/>
      <c r="H492" s="147">
        <v>2</v>
      </c>
      <c r="I492" s="630">
        <f t="shared" si="34"/>
        <v>0</v>
      </c>
      <c r="J492" s="631">
        <f t="shared" si="35"/>
        <v>0</v>
      </c>
      <c r="K492" s="35">
        <f t="shared" si="37"/>
        <v>0</v>
      </c>
      <c r="L492" s="1028"/>
      <c r="M492" s="715"/>
      <c r="N492" s="206"/>
      <c r="O492" s="206"/>
      <c r="P492" s="206"/>
      <c r="Q492" s="206"/>
      <c r="R492" s="206"/>
      <c r="S492" s="206"/>
      <c r="T492" s="206"/>
    </row>
    <row r="493" spans="1:20" s="251" customFormat="1" ht="15" customHeight="1" x14ac:dyDescent="0.3">
      <c r="A493" s="415"/>
      <c r="B493" s="416"/>
      <c r="C493" s="417"/>
      <c r="D493" s="418"/>
      <c r="E493" s="190" t="s">
        <v>320</v>
      </c>
      <c r="F493" s="1159" t="s">
        <v>374</v>
      </c>
      <c r="G493" s="1040"/>
      <c r="H493" s="147">
        <v>1</v>
      </c>
      <c r="I493" s="630">
        <f t="shared" si="34"/>
        <v>0</v>
      </c>
      <c r="J493" s="631">
        <f t="shared" si="35"/>
        <v>0</v>
      </c>
      <c r="K493" s="35">
        <f t="shared" si="37"/>
        <v>0</v>
      </c>
      <c r="L493" s="1028"/>
      <c r="M493" s="715"/>
      <c r="N493" s="206"/>
      <c r="O493" s="206"/>
      <c r="P493" s="206"/>
      <c r="Q493" s="206"/>
      <c r="R493" s="206"/>
      <c r="S493" s="206"/>
      <c r="T493" s="206"/>
    </row>
    <row r="494" spans="1:20" s="251" customFormat="1" ht="15" customHeight="1" x14ac:dyDescent="0.3">
      <c r="A494" s="293"/>
      <c r="B494" s="294"/>
      <c r="C494" s="295"/>
      <c r="D494" s="296"/>
      <c r="E494" s="190" t="s">
        <v>321</v>
      </c>
      <c r="F494" s="1159" t="s">
        <v>375</v>
      </c>
      <c r="G494" s="1040"/>
      <c r="H494" s="147">
        <v>1</v>
      </c>
      <c r="I494" s="630">
        <f t="shared" si="34"/>
        <v>0</v>
      </c>
      <c r="J494" s="631">
        <f t="shared" si="35"/>
        <v>0</v>
      </c>
      <c r="K494" s="35">
        <f t="shared" si="37"/>
        <v>0</v>
      </c>
      <c r="L494" s="1028"/>
      <c r="M494" s="715"/>
      <c r="N494" s="206"/>
      <c r="O494" s="206"/>
      <c r="P494" s="206"/>
      <c r="Q494" s="206"/>
      <c r="R494" s="206"/>
      <c r="S494" s="206"/>
      <c r="T494" s="206"/>
    </row>
    <row r="495" spans="1:20" s="251" customFormat="1" ht="15" customHeight="1" x14ac:dyDescent="0.3">
      <c r="A495" s="293"/>
      <c r="B495" s="294"/>
      <c r="C495" s="295"/>
      <c r="D495" s="296"/>
      <c r="E495" s="190" t="s">
        <v>322</v>
      </c>
      <c r="F495" s="1159" t="s">
        <v>376</v>
      </c>
      <c r="G495" s="1040"/>
      <c r="H495" s="147">
        <v>1</v>
      </c>
      <c r="I495" s="630">
        <f t="shared" si="34"/>
        <v>0</v>
      </c>
      <c r="J495" s="631">
        <f t="shared" si="35"/>
        <v>0</v>
      </c>
      <c r="K495" s="35">
        <f t="shared" si="37"/>
        <v>0</v>
      </c>
      <c r="L495" s="1028"/>
      <c r="M495" s="715"/>
      <c r="N495" s="206"/>
      <c r="O495" s="206"/>
      <c r="P495" s="206"/>
      <c r="Q495" s="206"/>
      <c r="R495" s="206"/>
      <c r="S495" s="206"/>
      <c r="T495" s="206"/>
    </row>
    <row r="496" spans="1:20" s="251" customFormat="1" ht="15" customHeight="1" x14ac:dyDescent="0.3">
      <c r="A496" s="293"/>
      <c r="B496" s="294"/>
      <c r="C496" s="295"/>
      <c r="D496" s="296"/>
      <c r="E496" s="190" t="s">
        <v>323</v>
      </c>
      <c r="F496" s="1159" t="s">
        <v>377</v>
      </c>
      <c r="G496" s="1040"/>
      <c r="H496" s="147">
        <v>1</v>
      </c>
      <c r="I496" s="630">
        <f t="shared" si="34"/>
        <v>0</v>
      </c>
      <c r="J496" s="631">
        <f t="shared" si="35"/>
        <v>0</v>
      </c>
      <c r="K496" s="35">
        <f t="shared" si="37"/>
        <v>0</v>
      </c>
      <c r="L496" s="1028"/>
      <c r="M496" s="715"/>
      <c r="N496" s="206"/>
      <c r="O496" s="206"/>
      <c r="P496" s="206"/>
      <c r="Q496" s="206"/>
      <c r="R496" s="206"/>
      <c r="S496" s="206"/>
      <c r="T496" s="206"/>
    </row>
    <row r="497" spans="1:20" s="251" customFormat="1" ht="15" customHeight="1" x14ac:dyDescent="0.3">
      <c r="A497" s="293"/>
      <c r="B497" s="294"/>
      <c r="C497" s="295"/>
      <c r="D497" s="296"/>
      <c r="E497" s="190" t="s">
        <v>324</v>
      </c>
      <c r="F497" s="1159" t="s">
        <v>378</v>
      </c>
      <c r="G497" s="1040"/>
      <c r="H497" s="147">
        <v>1</v>
      </c>
      <c r="I497" s="630">
        <f t="shared" si="34"/>
        <v>0</v>
      </c>
      <c r="J497" s="631">
        <f t="shared" si="35"/>
        <v>0</v>
      </c>
      <c r="K497" s="35">
        <f t="shared" si="37"/>
        <v>0</v>
      </c>
      <c r="L497" s="1028"/>
      <c r="M497" s="714"/>
      <c r="N497" s="206"/>
      <c r="O497" s="254"/>
      <c r="P497" s="206"/>
      <c r="Q497" s="206"/>
      <c r="R497" s="206"/>
      <c r="S497" s="206"/>
      <c r="T497" s="206"/>
    </row>
    <row r="498" spans="1:20" s="251" customFormat="1" ht="15" customHeight="1" x14ac:dyDescent="0.3">
      <c r="A498" s="293"/>
      <c r="B498" s="294"/>
      <c r="C498" s="295"/>
      <c r="D498" s="296"/>
      <c r="E498" s="190" t="s">
        <v>379</v>
      </c>
      <c r="F498" s="1159" t="s">
        <v>380</v>
      </c>
      <c r="G498" s="1040"/>
      <c r="H498" s="147">
        <v>1</v>
      </c>
      <c r="I498" s="630">
        <f t="shared" si="34"/>
        <v>0</v>
      </c>
      <c r="J498" s="631">
        <f t="shared" si="35"/>
        <v>0</v>
      </c>
      <c r="K498" s="35">
        <f t="shared" si="37"/>
        <v>0</v>
      </c>
      <c r="L498" s="1028"/>
      <c r="M498" s="421"/>
      <c r="N498" s="206"/>
      <c r="O498" s="206"/>
      <c r="P498" s="206"/>
      <c r="Q498" s="206"/>
      <c r="R498" s="206"/>
      <c r="S498" s="206"/>
      <c r="T498" s="206"/>
    </row>
    <row r="499" spans="1:20" s="251" customFormat="1" ht="15" customHeight="1" x14ac:dyDescent="0.3">
      <c r="A499" s="293"/>
      <c r="B499" s="294"/>
      <c r="C499" s="295"/>
      <c r="D499" s="296"/>
      <c r="E499" s="190" t="s">
        <v>381</v>
      </c>
      <c r="F499" s="1159" t="s">
        <v>545</v>
      </c>
      <c r="G499" s="1040"/>
      <c r="H499" s="147">
        <v>1</v>
      </c>
      <c r="I499" s="630">
        <f t="shared" si="34"/>
        <v>0</v>
      </c>
      <c r="J499" s="631">
        <f t="shared" si="35"/>
        <v>0</v>
      </c>
      <c r="K499" s="35">
        <f t="shared" si="37"/>
        <v>0</v>
      </c>
      <c r="L499" s="1028"/>
      <c r="M499" s="422"/>
      <c r="N499" s="206"/>
      <c r="O499" s="206"/>
      <c r="P499" s="206"/>
      <c r="Q499" s="206"/>
      <c r="R499" s="206"/>
      <c r="S499" s="206"/>
      <c r="T499" s="206"/>
    </row>
    <row r="500" spans="1:20" s="251" customFormat="1" ht="14.25" customHeight="1" x14ac:dyDescent="0.3">
      <c r="A500" s="351"/>
      <c r="B500" s="352"/>
      <c r="C500" s="353"/>
      <c r="D500" s="354"/>
      <c r="E500" s="217" t="s">
        <v>382</v>
      </c>
      <c r="F500" s="1175" t="s">
        <v>383</v>
      </c>
      <c r="G500" s="1036"/>
      <c r="H500" s="191">
        <v>2</v>
      </c>
      <c r="I500" s="632">
        <f t="shared" si="34"/>
        <v>0</v>
      </c>
      <c r="J500" s="633">
        <f t="shared" si="35"/>
        <v>0</v>
      </c>
      <c r="K500" s="31">
        <f t="shared" si="37"/>
        <v>0</v>
      </c>
      <c r="L500" s="1028"/>
      <c r="M500" s="422"/>
      <c r="N500" s="206"/>
      <c r="O500" s="206"/>
      <c r="P500" s="206"/>
      <c r="Q500" s="206"/>
      <c r="R500" s="206"/>
      <c r="S500" s="206"/>
      <c r="T500" s="206"/>
    </row>
    <row r="501" spans="1:20" s="545" customFormat="1" ht="14.25" customHeight="1" x14ac:dyDescent="0.3">
      <c r="A501" s="551"/>
      <c r="B501" s="550"/>
      <c r="C501" s="547"/>
      <c r="D501" s="548"/>
      <c r="E501" s="549" t="s">
        <v>384</v>
      </c>
      <c r="F501" s="1175" t="s">
        <v>537</v>
      </c>
      <c r="G501" s="1036"/>
      <c r="H501" s="191">
        <v>1</v>
      </c>
      <c r="I501" s="632">
        <f t="shared" ref="I501" si="38">IF(AND(OR(A501="x", A501="p"),NOT(B501="n")),H501,0)</f>
        <v>0</v>
      </c>
      <c r="J501" s="633">
        <f t="shared" ref="J501" si="39">IF(OR(D501="m", C501="y"),H501,0)</f>
        <v>0</v>
      </c>
      <c r="K501" s="31">
        <f t="shared" ref="K501" si="40">IF(AND(J501&gt;0,C501="y"),H501,0)</f>
        <v>0</v>
      </c>
      <c r="L501" s="1192"/>
      <c r="M501" s="421"/>
      <c r="N501" s="544"/>
      <c r="O501" s="544"/>
      <c r="P501" s="544"/>
      <c r="Q501" s="544"/>
      <c r="R501" s="544"/>
      <c r="S501" s="544"/>
      <c r="T501" s="544"/>
    </row>
    <row r="502" spans="1:20" s="251" customFormat="1" ht="15" customHeight="1" x14ac:dyDescent="0.3">
      <c r="A502" s="403"/>
      <c r="B502" s="404"/>
      <c r="C502" s="405"/>
      <c r="D502" s="406"/>
      <c r="E502" s="192" t="s">
        <v>535</v>
      </c>
      <c r="F502" s="1193" t="s">
        <v>385</v>
      </c>
      <c r="G502" s="1036"/>
      <c r="H502" s="193">
        <v>1</v>
      </c>
      <c r="I502" s="630">
        <f t="shared" si="34"/>
        <v>0</v>
      </c>
      <c r="J502" s="631">
        <f t="shared" si="35"/>
        <v>0</v>
      </c>
      <c r="K502" s="39">
        <f t="shared" si="37"/>
        <v>0</v>
      </c>
      <c r="L502" s="1034"/>
      <c r="M502" s="710"/>
      <c r="N502" s="206"/>
      <c r="O502" s="206"/>
      <c r="P502" s="206"/>
      <c r="Q502" s="206"/>
      <c r="R502" s="206"/>
      <c r="S502" s="206"/>
      <c r="T502" s="206"/>
    </row>
    <row r="503" spans="1:20" s="251" customFormat="1" ht="38" customHeight="1" x14ac:dyDescent="0.3">
      <c r="A503" s="952"/>
      <c r="B503" s="953"/>
      <c r="C503" s="954"/>
      <c r="D503" s="955"/>
      <c r="E503" s="100">
        <v>27</v>
      </c>
      <c r="F503" s="1178" t="s">
        <v>673</v>
      </c>
      <c r="G503" s="1179"/>
      <c r="H503" s="1011"/>
      <c r="I503" s="40">
        <f t="shared" si="34"/>
        <v>0</v>
      </c>
      <c r="J503" s="41">
        <f t="shared" si="35"/>
        <v>0</v>
      </c>
      <c r="K503" s="39">
        <f t="shared" ref="K503:K513" si="41">IF(AND(J503&gt;0,C503="y"),H503,0)</f>
        <v>0</v>
      </c>
      <c r="L503" s="18" t="s">
        <v>294</v>
      </c>
      <c r="M503" s="277"/>
      <c r="N503" s="208"/>
      <c r="O503" s="223"/>
      <c r="P503" s="223"/>
      <c r="Q503" s="223"/>
      <c r="R503" s="223"/>
      <c r="S503" s="208"/>
      <c r="T503" s="208"/>
    </row>
    <row r="504" spans="1:20" s="251" customFormat="1" ht="18.5" customHeight="1" x14ac:dyDescent="0.3">
      <c r="A504" s="336"/>
      <c r="B504" s="337"/>
      <c r="C504" s="338"/>
      <c r="D504" s="339"/>
      <c r="E504" s="939" t="s">
        <v>79</v>
      </c>
      <c r="F504" s="1174" t="s">
        <v>674</v>
      </c>
      <c r="G504" s="1123"/>
      <c r="H504" s="1010">
        <v>1</v>
      </c>
      <c r="I504" s="667">
        <f>IF(AND(OR(A504="x", A504="p"),NOT(B504="n")),H504,0)</f>
        <v>0</v>
      </c>
      <c r="J504" s="668">
        <f t="shared" si="35"/>
        <v>0</v>
      </c>
      <c r="K504" s="39">
        <f t="shared" si="41"/>
        <v>0</v>
      </c>
      <c r="L504" s="18" t="s">
        <v>60</v>
      </c>
      <c r="M504" s="277"/>
      <c r="N504" s="208"/>
      <c r="O504" s="209" t="s">
        <v>386</v>
      </c>
      <c r="P504" s="208"/>
      <c r="Q504" s="208"/>
      <c r="R504" s="208"/>
      <c r="S504" s="208"/>
      <c r="T504" s="208"/>
    </row>
    <row r="505" spans="1:20" s="251" customFormat="1" ht="21" customHeight="1" x14ac:dyDescent="0.3">
      <c r="A505" s="293"/>
      <c r="B505" s="294"/>
      <c r="C505" s="941"/>
      <c r="D505" s="296"/>
      <c r="E505" s="49" t="s">
        <v>80</v>
      </c>
      <c r="F505" s="1039" t="s">
        <v>730</v>
      </c>
      <c r="G505" s="1040"/>
      <c r="H505" s="148">
        <v>1</v>
      </c>
      <c r="I505" s="630">
        <f t="shared" si="34"/>
        <v>0</v>
      </c>
      <c r="J505" s="631">
        <f t="shared" si="35"/>
        <v>0</v>
      </c>
      <c r="K505" s="39">
        <f t="shared" si="41"/>
        <v>0</v>
      </c>
      <c r="L505" s="18" t="s">
        <v>60</v>
      </c>
      <c r="M505" s="277"/>
      <c r="N505" s="208"/>
      <c r="O505" s="209" t="str">
        <f>HYPERLINK("https://www.udinstitute.org/","Universal Design Institute")</f>
        <v>Universal Design Institute</v>
      </c>
      <c r="P505" s="208"/>
      <c r="Q505" s="208"/>
      <c r="R505" s="208"/>
      <c r="S505" s="208"/>
      <c r="T505" s="208"/>
    </row>
    <row r="506" spans="1:20" s="251" customFormat="1" ht="39" customHeight="1" x14ac:dyDescent="0.3">
      <c r="A506" s="293"/>
      <c r="B506" s="294"/>
      <c r="C506" s="941"/>
      <c r="D506" s="296"/>
      <c r="E506" s="49" t="s">
        <v>82</v>
      </c>
      <c r="F506" s="1039" t="s">
        <v>651</v>
      </c>
      <c r="G506" s="1040"/>
      <c r="H506" s="148">
        <v>1</v>
      </c>
      <c r="I506" s="630">
        <f t="shared" si="34"/>
        <v>0</v>
      </c>
      <c r="J506" s="631">
        <f t="shared" si="35"/>
        <v>0</v>
      </c>
      <c r="K506" s="39">
        <f t="shared" si="41"/>
        <v>0</v>
      </c>
      <c r="L506" s="18" t="s">
        <v>294</v>
      </c>
      <c r="M506" s="277"/>
      <c r="N506" s="208"/>
      <c r="O506" s="208"/>
      <c r="P506" s="208"/>
      <c r="Q506" s="208"/>
      <c r="R506" s="208"/>
      <c r="S506" s="208"/>
      <c r="T506" s="208"/>
    </row>
    <row r="507" spans="1:20" s="827" customFormat="1" ht="39" customHeight="1" x14ac:dyDescent="0.3">
      <c r="A507" s="293"/>
      <c r="B507" s="294"/>
      <c r="C507" s="941"/>
      <c r="D507" s="296"/>
      <c r="E507" s="49" t="s">
        <v>83</v>
      </c>
      <c r="F507" s="1063" t="s">
        <v>653</v>
      </c>
      <c r="G507" s="1064"/>
      <c r="H507" s="148">
        <v>1</v>
      </c>
      <c r="I507" s="630">
        <f t="shared" si="34"/>
        <v>0</v>
      </c>
      <c r="J507" s="631">
        <f t="shared" si="35"/>
        <v>0</v>
      </c>
      <c r="K507" s="747">
        <f t="shared" si="41"/>
        <v>0</v>
      </c>
      <c r="L507" s="18"/>
      <c r="M507" s="277"/>
      <c r="N507" s="828"/>
      <c r="O507" s="828"/>
      <c r="P507" s="828"/>
      <c r="Q507" s="828"/>
      <c r="R507" s="828"/>
      <c r="S507" s="828"/>
      <c r="T507" s="828"/>
    </row>
    <row r="508" spans="1:20" s="827" customFormat="1" ht="31" customHeight="1" x14ac:dyDescent="0.3">
      <c r="A508" s="293"/>
      <c r="B508" s="294"/>
      <c r="C508" s="941"/>
      <c r="D508" s="296"/>
      <c r="E508" s="49" t="s">
        <v>137</v>
      </c>
      <c r="F508" s="1063" t="s">
        <v>731</v>
      </c>
      <c r="G508" s="1064"/>
      <c r="H508" s="148">
        <v>1</v>
      </c>
      <c r="I508" s="630">
        <f t="shared" si="34"/>
        <v>0</v>
      </c>
      <c r="J508" s="631">
        <f t="shared" si="35"/>
        <v>0</v>
      </c>
      <c r="K508" s="747">
        <f t="shared" si="41"/>
        <v>0</v>
      </c>
      <c r="L508" s="18"/>
      <c r="M508" s="277"/>
      <c r="N508" s="828"/>
      <c r="O508" s="828"/>
      <c r="P508" s="828"/>
      <c r="Q508" s="828"/>
      <c r="R508" s="828"/>
      <c r="S508" s="828"/>
      <c r="T508" s="828"/>
    </row>
    <row r="509" spans="1:20" s="251" customFormat="1" ht="19.5" customHeight="1" x14ac:dyDescent="0.3">
      <c r="A509" s="326"/>
      <c r="B509" s="327"/>
      <c r="C509" s="942"/>
      <c r="D509" s="329"/>
      <c r="E509" s="50" t="s">
        <v>134</v>
      </c>
      <c r="F509" s="1023" t="s">
        <v>732</v>
      </c>
      <c r="G509" s="1024"/>
      <c r="H509" s="943">
        <v>1</v>
      </c>
      <c r="I509" s="639">
        <f t="shared" si="34"/>
        <v>0</v>
      </c>
      <c r="J509" s="651">
        <f t="shared" si="35"/>
        <v>0</v>
      </c>
      <c r="K509" s="39">
        <f t="shared" si="41"/>
        <v>0</v>
      </c>
      <c r="L509" s="18" t="s">
        <v>294</v>
      </c>
      <c r="M509" s="277"/>
      <c r="N509" s="208"/>
      <c r="O509" s="208"/>
      <c r="P509" s="208"/>
      <c r="Q509" s="208"/>
      <c r="R509" s="208"/>
      <c r="S509" s="208"/>
      <c r="T509" s="208"/>
    </row>
    <row r="510" spans="1:20" s="251" customFormat="1" ht="24.75" customHeight="1" x14ac:dyDescent="0.3">
      <c r="A510" s="1003"/>
      <c r="B510" s="1004"/>
      <c r="C510" s="1005"/>
      <c r="D510" s="1006"/>
      <c r="E510" s="102">
        <v>28</v>
      </c>
      <c r="F510" s="1178" t="s">
        <v>652</v>
      </c>
      <c r="G510" s="1179"/>
      <c r="H510" s="940"/>
      <c r="I510" s="667">
        <f t="shared" si="34"/>
        <v>0</v>
      </c>
      <c r="J510" s="668">
        <f t="shared" si="35"/>
        <v>0</v>
      </c>
      <c r="K510" s="39">
        <f t="shared" si="41"/>
        <v>0</v>
      </c>
      <c r="L510" s="18" t="s">
        <v>60</v>
      </c>
      <c r="M510" s="277"/>
      <c r="N510" s="208"/>
      <c r="O510" s="208"/>
      <c r="P510" s="208"/>
      <c r="Q510" s="208"/>
      <c r="R510" s="208"/>
      <c r="S510" s="208"/>
      <c r="T510" s="208"/>
    </row>
    <row r="511" spans="1:20" s="251" customFormat="1" ht="14.25" customHeight="1" x14ac:dyDescent="0.3">
      <c r="A511" s="293"/>
      <c r="B511" s="294"/>
      <c r="C511" s="941"/>
      <c r="D511" s="296"/>
      <c r="E511" s="49" t="s">
        <v>79</v>
      </c>
      <c r="F511" s="1039" t="s">
        <v>387</v>
      </c>
      <c r="G511" s="1040"/>
      <c r="H511" s="148">
        <v>1</v>
      </c>
      <c r="I511" s="630">
        <f t="shared" si="34"/>
        <v>0</v>
      </c>
      <c r="J511" s="631">
        <f t="shared" si="35"/>
        <v>0</v>
      </c>
      <c r="K511" s="39">
        <f t="shared" si="41"/>
        <v>0</v>
      </c>
      <c r="L511" s="18" t="s">
        <v>294</v>
      </c>
      <c r="M511" s="277"/>
      <c r="N511" s="208"/>
      <c r="O511" s="208"/>
      <c r="P511" s="208"/>
      <c r="Q511" s="208"/>
      <c r="R511" s="208"/>
      <c r="S511" s="208"/>
      <c r="T511" s="208"/>
    </row>
    <row r="512" spans="1:20" s="251" customFormat="1" ht="26.25" customHeight="1" x14ac:dyDescent="0.3">
      <c r="A512" s="326"/>
      <c r="B512" s="327"/>
      <c r="C512" s="942"/>
      <c r="D512" s="329"/>
      <c r="E512" s="50" t="s">
        <v>80</v>
      </c>
      <c r="F512" s="1023" t="s">
        <v>615</v>
      </c>
      <c r="G512" s="1024"/>
      <c r="H512" s="943">
        <v>1</v>
      </c>
      <c r="I512" s="639">
        <f t="shared" si="34"/>
        <v>0</v>
      </c>
      <c r="J512" s="651">
        <f t="shared" si="35"/>
        <v>0</v>
      </c>
      <c r="K512" s="39">
        <f t="shared" si="41"/>
        <v>0</v>
      </c>
      <c r="L512" s="18" t="s">
        <v>60</v>
      </c>
      <c r="M512" s="277"/>
      <c r="N512" s="208"/>
      <c r="O512" s="208"/>
      <c r="P512" s="208"/>
      <c r="Q512" s="208"/>
      <c r="R512" s="208"/>
      <c r="S512" s="208"/>
      <c r="T512" s="208"/>
    </row>
    <row r="513" spans="1:20" s="251" customFormat="1" ht="33.75" customHeight="1" thickBot="1" x14ac:dyDescent="0.35">
      <c r="A513" s="332"/>
      <c r="B513" s="333"/>
      <c r="C513" s="334"/>
      <c r="D513" s="335"/>
      <c r="E513" s="86">
        <v>29</v>
      </c>
      <c r="F513" s="1071" t="s">
        <v>127</v>
      </c>
      <c r="G513" s="1072"/>
      <c r="H513" s="426" t="s">
        <v>128</v>
      </c>
      <c r="I513" s="636">
        <f>IF(AND(OR(A513="x", A513="p"),NOT(B513="n"), H513&lt;=7),H513,0)</f>
        <v>0</v>
      </c>
      <c r="J513" s="144">
        <f>IF(AND(OR(D513="m", C513="y"), H513&lt;=7),H513,0)</f>
        <v>0</v>
      </c>
      <c r="K513" s="39">
        <f t="shared" si="41"/>
        <v>0</v>
      </c>
      <c r="L513" s="207" t="s">
        <v>153</v>
      </c>
      <c r="M513" s="702"/>
      <c r="N513" s="208"/>
      <c r="O513" s="208"/>
      <c r="P513" s="208"/>
      <c r="Q513" s="208"/>
      <c r="R513" s="208"/>
      <c r="S513" s="208"/>
      <c r="T513" s="208"/>
    </row>
    <row r="514" spans="1:20" s="251" customFormat="1" ht="14.25" customHeight="1" thickTop="1" thickBot="1" x14ac:dyDescent="0.35">
      <c r="A514" s="1041" t="s">
        <v>655</v>
      </c>
      <c r="B514" s="1042"/>
      <c r="C514" s="1042"/>
      <c r="D514" s="1042"/>
      <c r="E514" s="1042"/>
      <c r="F514" s="1042"/>
      <c r="G514" s="1042"/>
      <c r="H514" s="1043"/>
      <c r="I514" s="644">
        <f>SUM(I442:I513)</f>
        <v>0</v>
      </c>
      <c r="J514" s="644">
        <f>SUM(J442:J513)</f>
        <v>0</v>
      </c>
      <c r="K514" s="157">
        <f>SUM(K442:K513)</f>
        <v>0</v>
      </c>
      <c r="L514" s="118"/>
      <c r="M514" s="173"/>
      <c r="N514" s="208"/>
      <c r="O514" s="208"/>
      <c r="P514" s="208"/>
      <c r="Q514" s="208"/>
      <c r="R514" s="208"/>
      <c r="S514" s="208"/>
      <c r="T514" s="208"/>
    </row>
    <row r="515" spans="1:20" s="425" customFormat="1" ht="35.15" customHeight="1" thickTop="1" thickBot="1" x14ac:dyDescent="0.35">
      <c r="A515" s="1194" t="s">
        <v>40</v>
      </c>
      <c r="B515" s="1195"/>
      <c r="C515" s="1195"/>
      <c r="D515" s="1195"/>
      <c r="E515" s="1195"/>
      <c r="F515" s="1195"/>
      <c r="G515" s="1195"/>
      <c r="H515" s="1147"/>
      <c r="I515" s="1147"/>
      <c r="J515" s="1147"/>
      <c r="K515" s="1147"/>
      <c r="L515" s="1147"/>
      <c r="M515" s="1147"/>
      <c r="N515" s="427"/>
      <c r="O515" s="428"/>
      <c r="P515" s="428"/>
      <c r="Q515" s="428"/>
      <c r="R515" s="428"/>
      <c r="S515" s="428"/>
      <c r="T515" s="428"/>
    </row>
    <row r="516" spans="1:20" s="251" customFormat="1" ht="14.5" thickBot="1" x14ac:dyDescent="0.35">
      <c r="A516" s="1200" t="s">
        <v>0</v>
      </c>
      <c r="B516" s="1210" t="s">
        <v>1</v>
      </c>
      <c r="C516" s="1212" t="s">
        <v>73</v>
      </c>
      <c r="D516" s="1214" t="s">
        <v>74</v>
      </c>
      <c r="E516" s="1181" t="s">
        <v>483</v>
      </c>
      <c r="F516" s="1182"/>
      <c r="G516" s="1183"/>
      <c r="H516" s="1225" t="s">
        <v>69</v>
      </c>
      <c r="I516" s="1133" t="s">
        <v>70</v>
      </c>
      <c r="J516" s="1134"/>
      <c r="K516" s="557"/>
      <c r="L516" s="1080" t="s">
        <v>71</v>
      </c>
      <c r="M516" s="1187" t="s">
        <v>155</v>
      </c>
      <c r="N516" s="224"/>
      <c r="O516" s="208"/>
      <c r="P516" s="208"/>
      <c r="Q516" s="208"/>
      <c r="R516" s="208"/>
      <c r="S516" s="208"/>
      <c r="T516" s="208"/>
    </row>
    <row r="517" spans="1:20" s="251" customFormat="1" ht="15.75" customHeight="1" thickBot="1" x14ac:dyDescent="0.35">
      <c r="A517" s="1201"/>
      <c r="B517" s="1211"/>
      <c r="C517" s="1213"/>
      <c r="D517" s="1215"/>
      <c r="E517" s="1184"/>
      <c r="F517" s="1185"/>
      <c r="G517" s="1186"/>
      <c r="H517" s="1226"/>
      <c r="I517" s="627" t="s">
        <v>75</v>
      </c>
      <c r="J517" s="628" t="s">
        <v>76</v>
      </c>
      <c r="K517" s="558"/>
      <c r="L517" s="1199"/>
      <c r="M517" s="1188"/>
      <c r="N517" s="224"/>
      <c r="O517" s="208"/>
      <c r="P517" s="208"/>
      <c r="Q517" s="208"/>
      <c r="R517" s="208"/>
      <c r="S517" s="208"/>
      <c r="T517" s="208"/>
    </row>
    <row r="518" spans="1:20" s="251" customFormat="1" ht="14.25" customHeight="1" x14ac:dyDescent="0.3">
      <c r="A518" s="968"/>
      <c r="B518" s="969"/>
      <c r="C518" s="969"/>
      <c r="D518" s="970"/>
      <c r="E518" s="579">
        <v>1</v>
      </c>
      <c r="F518" s="1190" t="s">
        <v>733</v>
      </c>
      <c r="G518" s="1191"/>
      <c r="H518" s="218"/>
      <c r="I518" s="636"/>
      <c r="J518" s="144"/>
      <c r="K518" s="39"/>
      <c r="L518" s="1198" t="s">
        <v>60</v>
      </c>
      <c r="M518" s="1196" t="s">
        <v>549</v>
      </c>
      <c r="N518" s="3"/>
      <c r="O518" s="206"/>
      <c r="P518" s="206"/>
      <c r="Q518" s="206"/>
      <c r="R518" s="206"/>
      <c r="S518" s="206"/>
      <c r="T518" s="206"/>
    </row>
    <row r="519" spans="1:20" s="251" customFormat="1" ht="23.25" customHeight="1" x14ac:dyDescent="0.3">
      <c r="A519" s="322"/>
      <c r="B519" s="323"/>
      <c r="C519" s="324"/>
      <c r="D519" s="325"/>
      <c r="E519" s="48" t="s">
        <v>79</v>
      </c>
      <c r="F519" s="1180" t="s">
        <v>414</v>
      </c>
      <c r="G519" s="1123"/>
      <c r="H519" s="220">
        <v>1</v>
      </c>
      <c r="I519" s="696">
        <f t="shared" ref="I519:I524" si="42">IF(AND(OR(A519="x", A519="p"),NOT(B519="n")),H519,0)</f>
        <v>0</v>
      </c>
      <c r="J519" s="629">
        <f t="shared" ref="J519:J524" si="43">IF(OR(D519="m", C519="y"),H519,0)</f>
        <v>0</v>
      </c>
      <c r="K519" s="39">
        <f t="shared" ref="K519:K524" si="44">IF(AND(J519&gt;0,C519="y"),H519,0)</f>
        <v>0</v>
      </c>
      <c r="L519" s="1065"/>
      <c r="M519" s="1067"/>
      <c r="N519" s="3"/>
      <c r="O519" s="206"/>
      <c r="P519" s="206"/>
      <c r="Q519" s="206"/>
      <c r="R519" s="206"/>
      <c r="S519" s="206"/>
      <c r="T519" s="206"/>
    </row>
    <row r="520" spans="1:20" s="251" customFormat="1" ht="14.25" customHeight="1" x14ac:dyDescent="0.3">
      <c r="A520" s="293"/>
      <c r="B520" s="294"/>
      <c r="C520" s="295"/>
      <c r="D520" s="296"/>
      <c r="E520" s="48" t="s">
        <v>80</v>
      </c>
      <c r="F520" s="1176" t="s">
        <v>509</v>
      </c>
      <c r="G520" s="1123"/>
      <c r="H520" s="46">
        <v>2</v>
      </c>
      <c r="I520" s="630">
        <f t="shared" si="42"/>
        <v>0</v>
      </c>
      <c r="J520" s="631">
        <f t="shared" si="43"/>
        <v>0</v>
      </c>
      <c r="K520" s="39">
        <f t="shared" si="44"/>
        <v>0</v>
      </c>
      <c r="L520" s="1065"/>
      <c r="M520" s="1067"/>
      <c r="N520" s="3"/>
      <c r="O520" s="253" t="str">
        <f>HYPERLINK("https://www.greenbuilt.org/wp-content/uploads/2018/10/Green-Built-Homeowner-Guide.pdf?x74149","Green Built Alliance Homeowner Resources")</f>
        <v>Green Built Alliance Homeowner Resources</v>
      </c>
      <c r="P520" s="194"/>
      <c r="Q520" s="194"/>
      <c r="R520" s="194"/>
      <c r="S520" s="194"/>
      <c r="T520" s="194"/>
    </row>
    <row r="521" spans="1:20" s="251" customFormat="1" ht="24" customHeight="1" x14ac:dyDescent="0.3">
      <c r="A521" s="351"/>
      <c r="B521" s="352"/>
      <c r="C521" s="353"/>
      <c r="D521" s="354"/>
      <c r="E521" s="105" t="s">
        <v>82</v>
      </c>
      <c r="F521" s="1177" t="s">
        <v>415</v>
      </c>
      <c r="G521" s="1123"/>
      <c r="H521" s="59">
        <v>1</v>
      </c>
      <c r="I521" s="630">
        <f t="shared" si="42"/>
        <v>0</v>
      </c>
      <c r="J521" s="631">
        <f t="shared" si="43"/>
        <v>0</v>
      </c>
      <c r="K521" s="39">
        <f t="shared" si="44"/>
        <v>0</v>
      </c>
      <c r="L521" s="1065"/>
      <c r="M521" s="1067"/>
      <c r="N521" s="3"/>
      <c r="O521" s="257" t="str">
        <f>HYPERLINK("https://www.greenbuilt.org/wp-content/uploads/2018/10/Green-Built-Homeowner-Guide.pdf?x74149","Green Built Alliance Homeowner Guide")</f>
        <v>Green Built Alliance Homeowner Guide</v>
      </c>
      <c r="P521" s="206"/>
      <c r="Q521" s="206"/>
      <c r="R521" s="206"/>
      <c r="S521" s="206"/>
      <c r="T521" s="206"/>
    </row>
    <row r="522" spans="1:20" s="251" customFormat="1" ht="39" customHeight="1" x14ac:dyDescent="0.3">
      <c r="A522" s="351"/>
      <c r="B522" s="352"/>
      <c r="C522" s="353"/>
      <c r="D522" s="354"/>
      <c r="E522" s="105" t="s">
        <v>83</v>
      </c>
      <c r="F522" s="1172" t="s">
        <v>675</v>
      </c>
      <c r="G522" s="1156"/>
      <c r="H522" s="59">
        <v>1</v>
      </c>
      <c r="I522" s="630">
        <f t="shared" si="42"/>
        <v>0</v>
      </c>
      <c r="J522" s="631">
        <f t="shared" si="43"/>
        <v>0</v>
      </c>
      <c r="K522" s="39">
        <f t="shared" si="44"/>
        <v>0</v>
      </c>
      <c r="L522" s="1065"/>
      <c r="M522" s="1067"/>
      <c r="N522" s="3"/>
      <c r="O522" s="206"/>
      <c r="P522" s="206"/>
      <c r="Q522" s="206"/>
      <c r="R522" s="206"/>
      <c r="S522" s="206"/>
      <c r="T522" s="206"/>
    </row>
    <row r="523" spans="1:20" s="489" customFormat="1" ht="14" x14ac:dyDescent="0.3">
      <c r="A523" s="494"/>
      <c r="B523" s="493"/>
      <c r="C523" s="491"/>
      <c r="D523" s="492"/>
      <c r="E523" s="105" t="s">
        <v>137</v>
      </c>
      <c r="F523" s="1197" t="s">
        <v>676</v>
      </c>
      <c r="G523" s="1097"/>
      <c r="H523" s="59">
        <v>2</v>
      </c>
      <c r="I523" s="632">
        <f t="shared" ref="I523" si="45">IF(AND(OR(A523="x", A523="p"),NOT(B523="n")),H523,0)</f>
        <v>0</v>
      </c>
      <c r="J523" s="633">
        <f t="shared" ref="J523" si="46">IF(OR(D523="m", C523="y"),H523,0)</f>
        <v>0</v>
      </c>
      <c r="K523" s="39">
        <f t="shared" ref="K523" si="47">IF(AND(J523&gt;0,C523="y"),H523,0)</f>
        <v>0</v>
      </c>
      <c r="L523" s="1065"/>
      <c r="M523" s="1067"/>
      <c r="N523" s="3"/>
      <c r="O523" s="495"/>
      <c r="P523" s="490"/>
      <c r="Q523" s="490"/>
      <c r="R523" s="490"/>
      <c r="S523" s="490"/>
      <c r="T523" s="490"/>
    </row>
    <row r="524" spans="1:20" s="251" customFormat="1" ht="27.75" customHeight="1" x14ac:dyDescent="0.3">
      <c r="A524" s="472"/>
      <c r="B524" s="473"/>
      <c r="C524" s="475"/>
      <c r="D524" s="474"/>
      <c r="E524" s="105" t="s">
        <v>134</v>
      </c>
      <c r="F524" s="1173" t="s">
        <v>514</v>
      </c>
      <c r="G524" s="1036"/>
      <c r="H524" s="59">
        <v>2</v>
      </c>
      <c r="I524" s="632">
        <f t="shared" si="42"/>
        <v>0</v>
      </c>
      <c r="J524" s="633">
        <f t="shared" si="43"/>
        <v>0</v>
      </c>
      <c r="K524" s="39">
        <f t="shared" si="44"/>
        <v>0</v>
      </c>
      <c r="L524" s="1065"/>
      <c r="M524" s="1067"/>
      <c r="N524" s="3"/>
      <c r="O524" s="476" t="s">
        <v>529</v>
      </c>
      <c r="P524" s="206"/>
      <c r="Q524" s="206"/>
      <c r="R524" s="206"/>
      <c r="S524" s="206"/>
      <c r="T524" s="206"/>
    </row>
    <row r="525" spans="1:20" s="251" customFormat="1" ht="14.25" customHeight="1" x14ac:dyDescent="0.3">
      <c r="A525" s="319"/>
      <c r="B525" s="320"/>
      <c r="C525" s="320"/>
      <c r="D525" s="321"/>
      <c r="E525" s="82">
        <v>2</v>
      </c>
      <c r="F525" s="1208" t="s">
        <v>388</v>
      </c>
      <c r="G525" s="1209"/>
      <c r="H525" s="218"/>
      <c r="I525" s="143"/>
      <c r="J525" s="144"/>
      <c r="K525" s="39"/>
      <c r="L525" s="1027" t="s">
        <v>60</v>
      </c>
      <c r="M525" s="1030"/>
      <c r="N525" s="3"/>
      <c r="O525" s="206"/>
      <c r="P525" s="206"/>
      <c r="Q525" s="206"/>
      <c r="R525" s="206"/>
      <c r="S525" s="206"/>
      <c r="T525" s="206"/>
    </row>
    <row r="526" spans="1:20" s="251" customFormat="1" ht="14.25" customHeight="1" x14ac:dyDescent="0.3">
      <c r="A526" s="322"/>
      <c r="B526" s="323"/>
      <c r="C526" s="324"/>
      <c r="D526" s="325"/>
      <c r="E526" s="48" t="s">
        <v>79</v>
      </c>
      <c r="F526" s="1039" t="s">
        <v>389</v>
      </c>
      <c r="G526" s="1040"/>
      <c r="H526" s="59">
        <v>1</v>
      </c>
      <c r="I526" s="632">
        <f>IF(AND(OR(A526="x", A526="p"),NOT(B526="n")),H526,0)</f>
        <v>0</v>
      </c>
      <c r="J526" s="633">
        <f>IF(OR(D526="m", C526="y"),H526,0)</f>
        <v>0</v>
      </c>
      <c r="K526" s="39">
        <f t="shared" ref="K526:K532" si="48">IF(AND(J526&gt;0,C526="y"),H526,0)</f>
        <v>0</v>
      </c>
      <c r="L526" s="1028"/>
      <c r="M526" s="1057"/>
      <c r="N526" s="3"/>
      <c r="O526" s="206"/>
      <c r="P526" s="206"/>
      <c r="Q526" s="206"/>
      <c r="R526" s="206"/>
      <c r="S526" s="206"/>
      <c r="T526" s="206"/>
    </row>
    <row r="527" spans="1:20" s="251" customFormat="1" ht="15" customHeight="1" x14ac:dyDescent="0.3">
      <c r="A527" s="293"/>
      <c r="B527" s="294"/>
      <c r="C527" s="295"/>
      <c r="D527" s="296"/>
      <c r="E527" s="48" t="s">
        <v>80</v>
      </c>
      <c r="F527" s="1142" t="s">
        <v>390</v>
      </c>
      <c r="G527" s="1040"/>
      <c r="H527" s="46">
        <v>1</v>
      </c>
      <c r="I527" s="630">
        <f>IF(AND(OR(A527="x", A527="p"),NOT(B527="n")),H527,0)</f>
        <v>0</v>
      </c>
      <c r="J527" s="631">
        <f>IF(OR(D527="m", C527="y"),H527,0)</f>
        <v>0</v>
      </c>
      <c r="K527" s="39">
        <f t="shared" si="48"/>
        <v>0</v>
      </c>
      <c r="L527" s="1028"/>
      <c r="M527" s="1057"/>
      <c r="N527" s="3"/>
      <c r="O527" s="485" t="s">
        <v>391</v>
      </c>
      <c r="P527" s="483"/>
      <c r="Q527" s="483"/>
      <c r="R527" s="483"/>
      <c r="S527" s="486"/>
      <c r="T527" s="206"/>
    </row>
    <row r="528" spans="1:20" s="251" customFormat="1" ht="23.25" customHeight="1" x14ac:dyDescent="0.3">
      <c r="A528" s="326"/>
      <c r="B528" s="327"/>
      <c r="C528" s="328"/>
      <c r="D528" s="329"/>
      <c r="E528" s="117" t="s">
        <v>82</v>
      </c>
      <c r="F528" s="1203" t="s">
        <v>609</v>
      </c>
      <c r="G528" s="1204"/>
      <c r="H528" s="69">
        <v>1</v>
      </c>
      <c r="I528" s="642">
        <f>IF(AND(OR(A528="x", A528="p"),NOT(B528="n")),H528,0)</f>
        <v>0</v>
      </c>
      <c r="J528" s="666">
        <f>IF(OR(D528="m", C528="y"),H528,0)</f>
        <v>0</v>
      </c>
      <c r="K528" s="39">
        <f t="shared" si="48"/>
        <v>0</v>
      </c>
      <c r="L528" s="1034"/>
      <c r="M528" s="1058"/>
      <c r="N528" s="3"/>
      <c r="O528" s="206"/>
      <c r="P528" s="206"/>
      <c r="Q528" s="206"/>
      <c r="R528" s="206"/>
      <c r="S528" s="206"/>
      <c r="T528" s="206"/>
    </row>
    <row r="529" spans="1:20" s="251" customFormat="1" ht="64.5" customHeight="1" x14ac:dyDescent="0.3">
      <c r="A529" s="301"/>
      <c r="B529" s="302"/>
      <c r="C529" s="303"/>
      <c r="D529" s="304"/>
      <c r="E529" s="90">
        <v>3</v>
      </c>
      <c r="F529" s="1205" t="s">
        <v>499</v>
      </c>
      <c r="G529" s="1026"/>
      <c r="H529" s="127">
        <v>2</v>
      </c>
      <c r="I529" s="40">
        <f>IF(AND(OR(A529="x", A529="p"),NOT(B529="n")),H529,0)</f>
        <v>0</v>
      </c>
      <c r="J529" s="41">
        <f>IF(OR(D529="m", C529="y"),H529,0)</f>
        <v>0</v>
      </c>
      <c r="K529" s="39">
        <f t="shared" si="48"/>
        <v>0</v>
      </c>
      <c r="L529" s="18" t="s">
        <v>392</v>
      </c>
      <c r="M529" s="277"/>
      <c r="N529" s="3"/>
      <c r="O529" s="255" t="s">
        <v>393</v>
      </c>
      <c r="P529" s="212"/>
      <c r="Q529" s="212"/>
      <c r="R529" s="212"/>
      <c r="S529" s="212"/>
      <c r="T529" s="212"/>
    </row>
    <row r="530" spans="1:20" s="251" customFormat="1" ht="14" x14ac:dyDescent="0.3">
      <c r="A530" s="1227"/>
      <c r="B530" s="1229"/>
      <c r="C530" s="1230"/>
      <c r="D530" s="1232"/>
      <c r="E530" s="1233">
        <v>4</v>
      </c>
      <c r="F530" s="1235" t="s">
        <v>394</v>
      </c>
      <c r="G530" s="1047"/>
      <c r="H530" s="1237">
        <v>2</v>
      </c>
      <c r="I530" s="1239">
        <f>IF(AND(OR(A530="x", A530="p"),NOT(B530="n")),H530,0)</f>
        <v>0</v>
      </c>
      <c r="J530" s="1202">
        <f>IF(OR(D530="m", C530="y"),H530,0)</f>
        <v>0</v>
      </c>
      <c r="K530" s="1206">
        <f>IF(AND(J530&gt;0,C530="y"),H530,0)</f>
        <v>0</v>
      </c>
      <c r="L530" s="1027" t="s">
        <v>395</v>
      </c>
      <c r="M530" s="1030" t="s">
        <v>396</v>
      </c>
      <c r="N530" s="224"/>
      <c r="O530" s="209" t="str">
        <f>HYPERLINK("https://medium.com/@seembu/3-simple-ways-to-design-a-biophilic-home-7e93fafdb0c2","Medium: 3 Simple Ways to Design a Biophilic Home")</f>
        <v>Medium: 3 Simple Ways to Design a Biophilic Home</v>
      </c>
      <c r="P530" s="208"/>
      <c r="Q530" s="208"/>
      <c r="R530" s="208"/>
      <c r="S530" s="208"/>
      <c r="T530" s="208"/>
    </row>
    <row r="531" spans="1:20" s="251" customFormat="1" ht="14" x14ac:dyDescent="0.3">
      <c r="A531" s="1228"/>
      <c r="B531" s="1099"/>
      <c r="C531" s="1231"/>
      <c r="D531" s="1101"/>
      <c r="E531" s="1234"/>
      <c r="F531" s="1236"/>
      <c r="G531" s="1049"/>
      <c r="H531" s="1238"/>
      <c r="I531" s="1240"/>
      <c r="J531" s="1109"/>
      <c r="K531" s="1207"/>
      <c r="L531" s="1028"/>
      <c r="M531" s="1057"/>
      <c r="N531" s="224"/>
      <c r="O531" s="257" t="str">
        <f>HYPERLINK("https://www2.living-future.org/l/464132/2019-03-25/ghpnlf?RD_Scheduler=BD","Biophilic Design Guidebook")</f>
        <v>Biophilic Design Guidebook</v>
      </c>
      <c r="P531" s="38"/>
      <c r="Q531" s="38"/>
      <c r="R531" s="38"/>
      <c r="S531" s="257" t="str">
        <f>HYPERLINK("http://www.biophilicdesign.net/uploads/8/4/5/6/8456913/bd_viewingguide_revised.pdf","BiophilicDesign.net Viewing Guide")</f>
        <v>BiophilicDesign.net Viewing Guide</v>
      </c>
      <c r="T531" s="208"/>
    </row>
    <row r="532" spans="1:20" s="251" customFormat="1" ht="33.5" customHeight="1" x14ac:dyDescent="0.3">
      <c r="A532" s="332"/>
      <c r="B532" s="333"/>
      <c r="C532" s="334"/>
      <c r="D532" s="335"/>
      <c r="E532" s="213">
        <v>5</v>
      </c>
      <c r="F532" s="1205" t="s">
        <v>735</v>
      </c>
      <c r="G532" s="1026"/>
      <c r="H532" s="214">
        <v>2</v>
      </c>
      <c r="I532" s="636">
        <f t="shared" ref="I532:I536" si="49">IF(AND(OR(A532="x", A532="p"),NOT(B532="n")),H532,0)</f>
        <v>0</v>
      </c>
      <c r="J532" s="144">
        <f t="shared" ref="J532:J536" si="50">IF(OR(D532="m", C532="y"),H532,0)</f>
        <v>0</v>
      </c>
      <c r="K532" s="39">
        <f t="shared" si="48"/>
        <v>0</v>
      </c>
      <c r="L532" s="207" t="s">
        <v>397</v>
      </c>
      <c r="M532" s="713"/>
      <c r="N532" s="224"/>
      <c r="O532" s="258" t="str">
        <f>HYPERLINK("http://buildcarbonneutral.org/","Build Carbon Neutral")</f>
        <v>Build Carbon Neutral</v>
      </c>
      <c r="P532" s="208"/>
      <c r="R532" s="257" t="str">
        <f>HYPERLINK(" https://buildingtransparency.org/auth/register","Buidling Transparency ")</f>
        <v xml:space="preserve">Buidling Transparency </v>
      </c>
      <c r="S532" s="208"/>
      <c r="T532" s="208"/>
    </row>
    <row r="533" spans="1:20" s="251" customFormat="1" ht="14" x14ac:dyDescent="0.3">
      <c r="A533" s="332"/>
      <c r="B533" s="333"/>
      <c r="C533" s="334"/>
      <c r="D533" s="335"/>
      <c r="E533" s="213">
        <v>6</v>
      </c>
      <c r="F533" s="1205" t="s">
        <v>734</v>
      </c>
      <c r="G533" s="1026"/>
      <c r="H533" s="214">
        <v>1</v>
      </c>
      <c r="I533" s="636">
        <f t="shared" si="49"/>
        <v>0</v>
      </c>
      <c r="J533" s="144">
        <f t="shared" si="50"/>
        <v>0</v>
      </c>
      <c r="K533" s="39">
        <f>IF(AND(J533&gt;0,C533="y"),H533,0)</f>
        <v>0</v>
      </c>
      <c r="L533" s="207" t="s">
        <v>397</v>
      </c>
      <c r="M533" s="713"/>
      <c r="N533" s="224"/>
      <c r="O533" s="257" t="str">
        <f>HYPERLINK("https://www.cutmycarbon.org/","CutMyCarbon.org")</f>
        <v>CutMyCarbon.org</v>
      </c>
      <c r="P533" s="208"/>
      <c r="Q533" s="208"/>
      <c r="R533" s="208"/>
      <c r="S533" s="208"/>
      <c r="T533" s="208"/>
    </row>
    <row r="534" spans="1:20" s="251" customFormat="1" ht="23.25" customHeight="1" x14ac:dyDescent="0.3">
      <c r="A534" s="332"/>
      <c r="B534" s="333"/>
      <c r="C534" s="334"/>
      <c r="D534" s="335"/>
      <c r="E534" s="86">
        <v>7</v>
      </c>
      <c r="F534" s="1073" t="s">
        <v>500</v>
      </c>
      <c r="G534" s="1026"/>
      <c r="H534" s="214">
        <v>2</v>
      </c>
      <c r="I534" s="636">
        <f t="shared" si="49"/>
        <v>0</v>
      </c>
      <c r="J534" s="144">
        <f t="shared" si="50"/>
        <v>0</v>
      </c>
      <c r="K534" s="39">
        <f>IF(AND(J534&gt;0,C534="y"),H534,0)</f>
        <v>0</v>
      </c>
      <c r="L534" s="207" t="s">
        <v>398</v>
      </c>
      <c r="M534" s="713"/>
      <c r="N534" s="224"/>
      <c r="O534" s="225"/>
      <c r="P534" s="208"/>
      <c r="Q534" s="208"/>
      <c r="R534" s="208"/>
      <c r="S534" s="208"/>
      <c r="T534" s="208"/>
    </row>
    <row r="535" spans="1:20" s="251" customFormat="1" ht="27" customHeight="1" x14ac:dyDescent="0.3">
      <c r="A535" s="332"/>
      <c r="B535" s="333"/>
      <c r="C535" s="334"/>
      <c r="D535" s="335"/>
      <c r="E535" s="213">
        <v>8</v>
      </c>
      <c r="F535" s="1205" t="s">
        <v>399</v>
      </c>
      <c r="G535" s="1026"/>
      <c r="H535" s="214">
        <v>2</v>
      </c>
      <c r="I535" s="636">
        <f t="shared" si="49"/>
        <v>0</v>
      </c>
      <c r="J535" s="144">
        <f t="shared" si="50"/>
        <v>0</v>
      </c>
      <c r="K535" s="39">
        <f>IF(AND(J535&gt;0,C535="y"),H535,0)</f>
        <v>0</v>
      </c>
      <c r="L535" s="207" t="s">
        <v>400</v>
      </c>
      <c r="M535" s="713"/>
      <c r="N535" s="224"/>
      <c r="O535" s="257" t="str">
        <f>HYPERLINK("https://living-future.org/declare/declare-about/red-list/","Living Future: Red List Chemicals to Avoid")</f>
        <v>Living Future: Red List Chemicals to Avoid</v>
      </c>
      <c r="P535" s="208"/>
      <c r="Q535" s="208"/>
      <c r="R535" s="208"/>
      <c r="S535" s="208"/>
      <c r="T535" s="208"/>
    </row>
    <row r="536" spans="1:20" s="251" customFormat="1" ht="14" x14ac:dyDescent="0.3">
      <c r="A536" s="332"/>
      <c r="B536" s="333"/>
      <c r="C536" s="334"/>
      <c r="D536" s="335"/>
      <c r="E536" s="213">
        <v>9</v>
      </c>
      <c r="F536" s="1205" t="s">
        <v>401</v>
      </c>
      <c r="G536" s="1026"/>
      <c r="H536" s="127">
        <v>2</v>
      </c>
      <c r="I536" s="40">
        <f t="shared" si="49"/>
        <v>0</v>
      </c>
      <c r="J536" s="41">
        <f t="shared" si="50"/>
        <v>0</v>
      </c>
      <c r="K536" s="39">
        <f>IF(AND(J536&gt;0,C536="y"),H536,0)</f>
        <v>0</v>
      </c>
      <c r="L536" s="207" t="s">
        <v>402</v>
      </c>
      <c r="M536" s="713"/>
      <c r="N536" s="224"/>
      <c r="O536" s="257" t="str">
        <f>HYPERLINK("http://oasisdesign.net/greywater/law/","Oasis Design: Greywater law")</f>
        <v>Oasis Design: Greywater law</v>
      </c>
      <c r="P536" s="208"/>
      <c r="Q536" s="208"/>
      <c r="R536" s="208"/>
      <c r="S536" s="208"/>
      <c r="T536" s="208"/>
    </row>
    <row r="537" spans="1:20" s="251" customFormat="1" ht="27.75" customHeight="1" x14ac:dyDescent="0.3">
      <c r="A537" s="319"/>
      <c r="B537" s="320"/>
      <c r="C537" s="320"/>
      <c r="D537" s="321"/>
      <c r="E537" s="142">
        <v>10</v>
      </c>
      <c r="F537" s="1144" t="s">
        <v>403</v>
      </c>
      <c r="G537" s="1145"/>
      <c r="H537" s="195"/>
      <c r="I537" s="196"/>
      <c r="J537" s="197"/>
      <c r="K537" s="39"/>
      <c r="L537" s="1027" t="s">
        <v>404</v>
      </c>
      <c r="M537" s="1222"/>
      <c r="N537" s="224"/>
      <c r="O537" s="208"/>
      <c r="P537" s="208"/>
      <c r="Q537" s="208"/>
      <c r="R537" s="208"/>
      <c r="S537" s="208"/>
      <c r="T537" s="208"/>
    </row>
    <row r="538" spans="1:20" s="251" customFormat="1" ht="14.25" customHeight="1" x14ac:dyDescent="0.3">
      <c r="A538" s="359"/>
      <c r="B538" s="360"/>
      <c r="C538" s="361"/>
      <c r="D538" s="362"/>
      <c r="E538" s="190" t="s">
        <v>79</v>
      </c>
      <c r="F538" s="1159" t="s">
        <v>405</v>
      </c>
      <c r="G538" s="1040"/>
      <c r="H538" s="147">
        <v>1</v>
      </c>
      <c r="I538" s="630">
        <f t="shared" ref="I538:I546" si="51">IF(AND(OR(A538="x", A538="p"),NOT(B538="n")),H538,0)</f>
        <v>0</v>
      </c>
      <c r="J538" s="631">
        <f t="shared" ref="J538:J546" si="52">IF(OR(D538="m", C538="y"),H538,0)</f>
        <v>0</v>
      </c>
      <c r="K538" s="39">
        <f t="shared" ref="K538:K547" si="53">IF(AND(J538&gt;0,C538="y"),H538,0)</f>
        <v>0</v>
      </c>
      <c r="L538" s="1028"/>
      <c r="M538" s="1223"/>
      <c r="N538" s="224"/>
      <c r="O538" s="1070" t="str">
        <f>HYPERLINK("http://www.greenbuilt.org/","Green Built Website")</f>
        <v>Green Built Website</v>
      </c>
      <c r="P538" s="1022"/>
      <c r="Q538" s="1022"/>
      <c r="R538" s="208"/>
      <c r="S538" s="208"/>
      <c r="T538" s="208"/>
    </row>
    <row r="539" spans="1:20" s="251" customFormat="1" ht="14.25" customHeight="1" x14ac:dyDescent="0.3">
      <c r="A539" s="293"/>
      <c r="B539" s="294"/>
      <c r="C539" s="295"/>
      <c r="D539" s="296"/>
      <c r="E539" s="190" t="s">
        <v>80</v>
      </c>
      <c r="F539" s="1159" t="s">
        <v>406</v>
      </c>
      <c r="G539" s="1040"/>
      <c r="H539" s="147">
        <v>1</v>
      </c>
      <c r="I539" s="630">
        <f t="shared" si="51"/>
        <v>0</v>
      </c>
      <c r="J539" s="631">
        <f t="shared" si="52"/>
        <v>0</v>
      </c>
      <c r="K539" s="39">
        <f t="shared" si="53"/>
        <v>0</v>
      </c>
      <c r="L539" s="1028"/>
      <c r="M539" s="1223"/>
      <c r="N539" s="224"/>
      <c r="O539" s="208"/>
      <c r="P539" s="208"/>
      <c r="Q539" s="208"/>
      <c r="R539" s="208"/>
      <c r="S539" s="208"/>
      <c r="T539" s="208"/>
    </row>
    <row r="540" spans="1:20" s="251" customFormat="1" ht="27.75" customHeight="1" x14ac:dyDescent="0.3">
      <c r="A540" s="293"/>
      <c r="B540" s="294"/>
      <c r="C540" s="295"/>
      <c r="D540" s="296"/>
      <c r="E540" s="190" t="s">
        <v>82</v>
      </c>
      <c r="F540" s="1218" t="s">
        <v>407</v>
      </c>
      <c r="G540" s="1040"/>
      <c r="H540" s="147">
        <v>1</v>
      </c>
      <c r="I540" s="630">
        <f t="shared" si="51"/>
        <v>0</v>
      </c>
      <c r="J540" s="631">
        <f t="shared" si="52"/>
        <v>0</v>
      </c>
      <c r="K540" s="39">
        <f t="shared" si="53"/>
        <v>0</v>
      </c>
      <c r="L540" s="1028"/>
      <c r="M540" s="1223"/>
      <c r="N540" s="224"/>
      <c r="O540" s="208"/>
      <c r="P540" s="208"/>
      <c r="Q540" s="208"/>
      <c r="R540" s="208"/>
      <c r="S540" s="208"/>
      <c r="T540" s="208"/>
    </row>
    <row r="541" spans="1:20" s="251" customFormat="1" ht="14.25" customHeight="1" x14ac:dyDescent="0.3">
      <c r="A541" s="293"/>
      <c r="B541" s="294"/>
      <c r="C541" s="295"/>
      <c r="D541" s="296"/>
      <c r="E541" s="190" t="s">
        <v>83</v>
      </c>
      <c r="F541" s="1159" t="s">
        <v>408</v>
      </c>
      <c r="G541" s="1040"/>
      <c r="H541" s="147">
        <v>2</v>
      </c>
      <c r="I541" s="630">
        <f t="shared" si="51"/>
        <v>0</v>
      </c>
      <c r="J541" s="631">
        <f t="shared" si="52"/>
        <v>0</v>
      </c>
      <c r="K541" s="39">
        <f t="shared" si="53"/>
        <v>0</v>
      </c>
      <c r="L541" s="1028"/>
      <c r="M541" s="1223"/>
      <c r="N541" s="224"/>
      <c r="O541" s="208"/>
      <c r="P541" s="208"/>
      <c r="Q541" s="208"/>
      <c r="R541" s="208"/>
      <c r="S541" s="208"/>
      <c r="T541" s="208"/>
    </row>
    <row r="542" spans="1:20" s="251" customFormat="1" ht="23.5" customHeight="1" x14ac:dyDescent="0.3">
      <c r="A542" s="293"/>
      <c r="B542" s="294"/>
      <c r="C542" s="295"/>
      <c r="D542" s="296"/>
      <c r="E542" s="190" t="s">
        <v>137</v>
      </c>
      <c r="F542" s="1218" t="s">
        <v>610</v>
      </c>
      <c r="G542" s="1040"/>
      <c r="H542" s="147">
        <v>2</v>
      </c>
      <c r="I542" s="630">
        <f t="shared" si="51"/>
        <v>0</v>
      </c>
      <c r="J542" s="631">
        <f t="shared" si="52"/>
        <v>0</v>
      </c>
      <c r="K542" s="39">
        <f t="shared" si="53"/>
        <v>0</v>
      </c>
      <c r="L542" s="1028"/>
      <c r="M542" s="1223"/>
      <c r="N542" s="224"/>
      <c r="O542" s="208"/>
      <c r="P542" s="208"/>
      <c r="Q542" s="208"/>
      <c r="R542" s="208"/>
      <c r="S542" s="208"/>
      <c r="T542" s="208"/>
    </row>
    <row r="543" spans="1:20" s="251" customFormat="1" ht="14.25" customHeight="1" x14ac:dyDescent="0.3">
      <c r="A543" s="293"/>
      <c r="B543" s="294"/>
      <c r="C543" s="295"/>
      <c r="D543" s="295"/>
      <c r="E543" s="190" t="s">
        <v>134</v>
      </c>
      <c r="F543" s="1219" t="s">
        <v>409</v>
      </c>
      <c r="G543" s="1220"/>
      <c r="H543" s="147">
        <v>2</v>
      </c>
      <c r="I543" s="630">
        <f t="shared" si="51"/>
        <v>0</v>
      </c>
      <c r="J543" s="631">
        <f t="shared" si="52"/>
        <v>0</v>
      </c>
      <c r="K543" s="39">
        <f t="shared" si="53"/>
        <v>0</v>
      </c>
      <c r="L543" s="1028"/>
      <c r="M543" s="1223"/>
      <c r="N543" s="224"/>
      <c r="O543" s="208"/>
      <c r="P543" s="208"/>
      <c r="Q543" s="208"/>
      <c r="R543" s="208"/>
      <c r="S543" s="208"/>
      <c r="T543" s="208"/>
    </row>
    <row r="544" spans="1:20" s="251" customFormat="1" ht="14.25" customHeight="1" x14ac:dyDescent="0.3">
      <c r="A544" s="293"/>
      <c r="B544" s="294"/>
      <c r="C544" s="295"/>
      <c r="D544" s="296"/>
      <c r="E544" s="217" t="s">
        <v>245</v>
      </c>
      <c r="F544" s="1221" t="s">
        <v>736</v>
      </c>
      <c r="G544" s="1097"/>
      <c r="H544" s="198">
        <v>1</v>
      </c>
      <c r="I544" s="630">
        <f t="shared" si="51"/>
        <v>0</v>
      </c>
      <c r="J544" s="631">
        <f t="shared" si="52"/>
        <v>0</v>
      </c>
      <c r="K544" s="39">
        <f t="shared" si="53"/>
        <v>0</v>
      </c>
      <c r="L544" s="1028"/>
      <c r="M544" s="1223"/>
      <c r="N544" s="224"/>
      <c r="O544" s="208"/>
      <c r="P544" s="206"/>
      <c r="Q544" s="206"/>
      <c r="R544" s="206"/>
      <c r="S544" s="206"/>
      <c r="T544" s="206"/>
    </row>
    <row r="545" spans="1:20" s="251" customFormat="1" ht="14.25" customHeight="1" x14ac:dyDescent="0.3">
      <c r="A545" s="326"/>
      <c r="B545" s="327"/>
      <c r="C545" s="328"/>
      <c r="D545" s="329"/>
      <c r="E545" s="145" t="s">
        <v>317</v>
      </c>
      <c r="F545" s="1241" t="s">
        <v>410</v>
      </c>
      <c r="G545" s="1024"/>
      <c r="H545" s="199">
        <v>2</v>
      </c>
      <c r="I545" s="680">
        <f t="shared" si="51"/>
        <v>0</v>
      </c>
      <c r="J545" s="629">
        <f t="shared" si="52"/>
        <v>0</v>
      </c>
      <c r="K545" s="39">
        <f t="shared" si="53"/>
        <v>0</v>
      </c>
      <c r="L545" s="1034"/>
      <c r="M545" s="1224"/>
      <c r="N545" s="3"/>
      <c r="O545" s="206"/>
      <c r="P545" s="206"/>
      <c r="Q545" s="206"/>
      <c r="R545" s="206"/>
      <c r="S545" s="206"/>
      <c r="T545" s="206"/>
    </row>
    <row r="546" spans="1:20" s="251" customFormat="1" ht="14.25" customHeight="1" x14ac:dyDescent="0.3">
      <c r="A546" s="301"/>
      <c r="B546" s="302"/>
      <c r="C546" s="303"/>
      <c r="D546" s="304"/>
      <c r="E546" s="90">
        <v>11</v>
      </c>
      <c r="F546" s="1242" t="s">
        <v>411</v>
      </c>
      <c r="G546" s="1243"/>
      <c r="H546" s="200">
        <v>2</v>
      </c>
      <c r="I546" s="40">
        <f t="shared" si="51"/>
        <v>0</v>
      </c>
      <c r="J546" s="41">
        <f t="shared" si="52"/>
        <v>0</v>
      </c>
      <c r="K546" s="39">
        <f t="shared" si="53"/>
        <v>0</v>
      </c>
      <c r="L546" s="18" t="s">
        <v>412</v>
      </c>
      <c r="M546" s="712"/>
      <c r="N546" s="3"/>
      <c r="O546" s="1069" t="s">
        <v>34</v>
      </c>
      <c r="P546" s="1022"/>
      <c r="Q546" s="1022"/>
      <c r="R546" s="206"/>
      <c r="S546" s="206"/>
      <c r="T546" s="206"/>
    </row>
    <row r="547" spans="1:20" s="251" customFormat="1" ht="26.25" customHeight="1" thickBot="1" x14ac:dyDescent="0.35">
      <c r="A547" s="332"/>
      <c r="B547" s="333"/>
      <c r="C547" s="334"/>
      <c r="D547" s="335"/>
      <c r="E547" s="86">
        <v>13</v>
      </c>
      <c r="F547" s="1071" t="s">
        <v>127</v>
      </c>
      <c r="G547" s="1072"/>
      <c r="H547" s="426" t="s">
        <v>85</v>
      </c>
      <c r="I547" s="636">
        <f>IF(AND(OR(A547="x", A547="p"),NOT(B547="n"), H547&lt;=7),H547,0)</f>
        <v>0</v>
      </c>
      <c r="J547" s="144">
        <f>IF(AND(OR(D547="m", C547="y"), H547&lt;=7),H547,0)</f>
        <v>0</v>
      </c>
      <c r="K547" s="39">
        <f t="shared" si="53"/>
        <v>0</v>
      </c>
      <c r="L547" s="207" t="s">
        <v>153</v>
      </c>
      <c r="M547" s="702"/>
      <c r="N547" s="3"/>
      <c r="O547" s="206"/>
      <c r="P547" s="206"/>
      <c r="Q547" s="206"/>
      <c r="R547" s="206"/>
      <c r="S547" s="206"/>
      <c r="T547" s="206"/>
    </row>
    <row r="548" spans="1:20" s="251" customFormat="1" ht="19.5" customHeight="1" thickTop="1" thickBot="1" x14ac:dyDescent="0.35">
      <c r="A548" s="1041" t="s">
        <v>459</v>
      </c>
      <c r="B548" s="1042"/>
      <c r="C548" s="1042"/>
      <c r="D548" s="1042"/>
      <c r="E548" s="1042"/>
      <c r="F548" s="1042"/>
      <c r="G548" s="1042"/>
      <c r="H548" s="1043"/>
      <c r="I548" s="644">
        <f>SUM(I518:I547)</f>
        <v>0</v>
      </c>
      <c r="J548" s="644">
        <f>SUM(J518:J547)</f>
        <v>0</v>
      </c>
      <c r="K548" s="157">
        <f>SUM(K518:K547)</f>
        <v>0</v>
      </c>
      <c r="L548" s="118"/>
      <c r="M548" s="119"/>
      <c r="N548" s="3"/>
      <c r="O548" s="206"/>
      <c r="P548" s="206"/>
      <c r="Q548" s="206"/>
      <c r="R548" s="206"/>
      <c r="S548" s="206"/>
      <c r="T548" s="206"/>
    </row>
    <row r="549" spans="1:20" s="251" customFormat="1" ht="35.15" customHeight="1" thickTop="1" x14ac:dyDescent="0.3">
      <c r="A549" s="1216" t="s">
        <v>40</v>
      </c>
      <c r="B549" s="1217"/>
      <c r="C549" s="1217"/>
      <c r="D549" s="1217"/>
      <c r="E549" s="1217"/>
      <c r="F549" s="1217"/>
      <c r="G549" s="1217"/>
      <c r="H549" s="1217"/>
      <c r="I549" s="1217"/>
      <c r="J549" s="1217"/>
      <c r="K549" s="1217"/>
      <c r="L549" s="1217"/>
      <c r="M549" s="1217"/>
      <c r="N549" s="3"/>
      <c r="O549" s="206"/>
      <c r="P549" s="206"/>
      <c r="Q549" s="206"/>
      <c r="R549" s="206"/>
      <c r="S549" s="206"/>
      <c r="T549" s="206"/>
    </row>
    <row r="550" spans="1:20" ht="15" customHeight="1" x14ac:dyDescent="0.35">
      <c r="A550" s="3" t="s">
        <v>663</v>
      </c>
      <c r="B550" s="3"/>
      <c r="C550" s="3"/>
      <c r="D550" s="3"/>
      <c r="E550" s="15"/>
      <c r="F550" s="201"/>
      <c r="G550" s="202"/>
      <c r="H550" s="11"/>
      <c r="I550" s="203"/>
      <c r="J550" s="203"/>
      <c r="K550" s="11"/>
      <c r="L550" s="11"/>
      <c r="M550" s="204"/>
      <c r="N550" s="3"/>
      <c r="O550" s="4"/>
      <c r="P550" s="4"/>
      <c r="Q550" s="4"/>
      <c r="R550" s="4"/>
      <c r="S550" s="4"/>
      <c r="T550" s="4"/>
    </row>
    <row r="551" spans="1:20" ht="14.25" customHeight="1" x14ac:dyDescent="0.35">
      <c r="A551" s="3"/>
      <c r="B551" s="3"/>
      <c r="C551" s="3"/>
      <c r="D551" s="3"/>
      <c r="E551" s="15"/>
      <c r="F551" s="201"/>
      <c r="G551" s="202"/>
      <c r="H551" s="11"/>
      <c r="I551" s="203"/>
      <c r="J551" s="203"/>
      <c r="K551" s="11"/>
      <c r="L551" s="11"/>
      <c r="M551" s="204"/>
      <c r="N551" s="3"/>
      <c r="O551" s="4"/>
      <c r="P551" s="4"/>
      <c r="Q551" s="4"/>
      <c r="R551" s="4"/>
      <c r="S551" s="4"/>
      <c r="T551" s="4"/>
    </row>
  </sheetData>
  <mergeCells count="928">
    <mergeCell ref="B102:B103"/>
    <mergeCell ref="B150:B151"/>
    <mergeCell ref="C150:C151"/>
    <mergeCell ref="D150:D151"/>
    <mergeCell ref="F264:G264"/>
    <mergeCell ref="F120:G120"/>
    <mergeCell ref="F110:G110"/>
    <mergeCell ref="F115:G115"/>
    <mergeCell ref="F116:G116"/>
    <mergeCell ref="F158:G158"/>
    <mergeCell ref="F147:G147"/>
    <mergeCell ref="F168:G168"/>
    <mergeCell ref="F169:G169"/>
    <mergeCell ref="F171:G171"/>
    <mergeCell ref="F174:G174"/>
    <mergeCell ref="F205:G205"/>
    <mergeCell ref="F203:G203"/>
    <mergeCell ref="L443:L444"/>
    <mergeCell ref="M443:M444"/>
    <mergeCell ref="E198:E199"/>
    <mergeCell ref="E196:E197"/>
    <mergeCell ref="F333:G333"/>
    <mergeCell ref="F334:G334"/>
    <mergeCell ref="L121:L123"/>
    <mergeCell ref="M121:M123"/>
    <mergeCell ref="F137:G137"/>
    <mergeCell ref="F138:G138"/>
    <mergeCell ref="L137:L139"/>
    <mergeCell ref="M137:M139"/>
    <mergeCell ref="F148:G148"/>
    <mergeCell ref="F150:G150"/>
    <mergeCell ref="E150:E151"/>
    <mergeCell ref="F301:G301"/>
    <mergeCell ref="F296:G296"/>
    <mergeCell ref="F320:G320"/>
    <mergeCell ref="O121:S121"/>
    <mergeCell ref="F121:G121"/>
    <mergeCell ref="L124:M124"/>
    <mergeCell ref="F135:G135"/>
    <mergeCell ref="F136:G136"/>
    <mergeCell ref="F140:G140"/>
    <mergeCell ref="L130:L132"/>
    <mergeCell ref="O165:Q165"/>
    <mergeCell ref="F166:G166"/>
    <mergeCell ref="L162:L167"/>
    <mergeCell ref="F152:G152"/>
    <mergeCell ref="F153:G153"/>
    <mergeCell ref="F154:G154"/>
    <mergeCell ref="F155:G155"/>
    <mergeCell ref="F156:G156"/>
    <mergeCell ref="F157:G157"/>
    <mergeCell ref="E145:G146"/>
    <mergeCell ref="H145:H146"/>
    <mergeCell ref="I145:J145"/>
    <mergeCell ref="L145:L146"/>
    <mergeCell ref="M145:M146"/>
    <mergeCell ref="F123:G123"/>
    <mergeCell ref="F139:G139"/>
    <mergeCell ref="O109:T109"/>
    <mergeCell ref="F107:G107"/>
    <mergeCell ref="F108:G108"/>
    <mergeCell ref="I102:I103"/>
    <mergeCell ref="J102:J103"/>
    <mergeCell ref="L102:L103"/>
    <mergeCell ref="M102:M103"/>
    <mergeCell ref="O103:R103"/>
    <mergeCell ref="F105:G106"/>
    <mergeCell ref="H105:H106"/>
    <mergeCell ref="F109:G109"/>
    <mergeCell ref="I53:J53"/>
    <mergeCell ref="O81:R81"/>
    <mergeCell ref="I65:J65"/>
    <mergeCell ref="L73:M73"/>
    <mergeCell ref="L75:L80"/>
    <mergeCell ref="O64:S64"/>
    <mergeCell ref="M63:M64"/>
    <mergeCell ref="M75:M80"/>
    <mergeCell ref="O50:R50"/>
    <mergeCell ref="E74:M74"/>
    <mergeCell ref="C67:H67"/>
    <mergeCell ref="C68:H68"/>
    <mergeCell ref="I67:J67"/>
    <mergeCell ref="I68:J68"/>
    <mergeCell ref="M81:M84"/>
    <mergeCell ref="F79:G79"/>
    <mergeCell ref="H79:H80"/>
    <mergeCell ref="I79:I80"/>
    <mergeCell ref="J79:J80"/>
    <mergeCell ref="K79:K80"/>
    <mergeCell ref="C83:C84"/>
    <mergeCell ref="D83:D84"/>
    <mergeCell ref="E83:E84"/>
    <mergeCell ref="O56:R56"/>
    <mergeCell ref="C58:H58"/>
    <mergeCell ref="I58:J58"/>
    <mergeCell ref="O58:R58"/>
    <mergeCell ref="C79:C80"/>
    <mergeCell ref="D79:D80"/>
    <mergeCell ref="E79:E80"/>
    <mergeCell ref="A83:A84"/>
    <mergeCell ref="B83:B84"/>
    <mergeCell ref="O57:R57"/>
    <mergeCell ref="O59:S59"/>
    <mergeCell ref="A60:A62"/>
    <mergeCell ref="B60:B62"/>
    <mergeCell ref="C60:H62"/>
    <mergeCell ref="A63:A64"/>
    <mergeCell ref="B63:B64"/>
    <mergeCell ref="I63:J64"/>
    <mergeCell ref="K63:K64"/>
    <mergeCell ref="L63:L64"/>
    <mergeCell ref="C63:H64"/>
    <mergeCell ref="O100:R100"/>
    <mergeCell ref="F118:G118"/>
    <mergeCell ref="F119:G119"/>
    <mergeCell ref="C66:H66"/>
    <mergeCell ref="I66:J66"/>
    <mergeCell ref="C102:C103"/>
    <mergeCell ref="D102:D103"/>
    <mergeCell ref="E102:E103"/>
    <mergeCell ref="A69:M69"/>
    <mergeCell ref="A70:M70"/>
    <mergeCell ref="E71:G72"/>
    <mergeCell ref="H71:H72"/>
    <mergeCell ref="I71:J71"/>
    <mergeCell ref="L71:L72"/>
    <mergeCell ref="M71:M72"/>
    <mergeCell ref="I95:I96"/>
    <mergeCell ref="A79:A80"/>
    <mergeCell ref="A102:A103"/>
    <mergeCell ref="B79:B80"/>
    <mergeCell ref="A95:A96"/>
    <mergeCell ref="A105:A106"/>
    <mergeCell ref="B105:B106"/>
    <mergeCell ref="C105:C106"/>
    <mergeCell ref="F81:G81"/>
    <mergeCell ref="B49:B50"/>
    <mergeCell ref="C49:H50"/>
    <mergeCell ref="I105:I106"/>
    <mergeCell ref="J105:J106"/>
    <mergeCell ref="L105:L106"/>
    <mergeCell ref="M105:M106"/>
    <mergeCell ref="L107:L110"/>
    <mergeCell ref="M107:M110"/>
    <mergeCell ref="F102:G103"/>
    <mergeCell ref="H102:H103"/>
    <mergeCell ref="F95:G95"/>
    <mergeCell ref="H95:H96"/>
    <mergeCell ref="F97:G97"/>
    <mergeCell ref="F98:G98"/>
    <mergeCell ref="F99:G99"/>
    <mergeCell ref="F100:G100"/>
    <mergeCell ref="F101:G101"/>
    <mergeCell ref="K95:K96"/>
    <mergeCell ref="L95:L96"/>
    <mergeCell ref="M95:M96"/>
    <mergeCell ref="B95:B96"/>
    <mergeCell ref="F82:G82"/>
    <mergeCell ref="C95:C96"/>
    <mergeCell ref="C65:H65"/>
    <mergeCell ref="A1:M3"/>
    <mergeCell ref="A5:K5"/>
    <mergeCell ref="A6:K6"/>
    <mergeCell ref="A7:F7"/>
    <mergeCell ref="G7:K7"/>
    <mergeCell ref="A8:M8"/>
    <mergeCell ref="A9:M9"/>
    <mergeCell ref="A10:M10"/>
    <mergeCell ref="A11:M11"/>
    <mergeCell ref="A4:M4"/>
    <mergeCell ref="B12:M12"/>
    <mergeCell ref="B13:M13"/>
    <mergeCell ref="B14:M14"/>
    <mergeCell ref="A15:M15"/>
    <mergeCell ref="A16:M16"/>
    <mergeCell ref="A17:M17"/>
    <mergeCell ref="A18:M18"/>
    <mergeCell ref="C20:M20"/>
    <mergeCell ref="C21:M21"/>
    <mergeCell ref="C23:M23"/>
    <mergeCell ref="C24:M24"/>
    <mergeCell ref="B25:M25"/>
    <mergeCell ref="B26:M26"/>
    <mergeCell ref="B27:M27"/>
    <mergeCell ref="A28:G28"/>
    <mergeCell ref="H28:J28"/>
    <mergeCell ref="H29:J29"/>
    <mergeCell ref="H30:J30"/>
    <mergeCell ref="H31:J31"/>
    <mergeCell ref="H32:J32"/>
    <mergeCell ref="H33:J33"/>
    <mergeCell ref="H34:J34"/>
    <mergeCell ref="H35:J35"/>
    <mergeCell ref="H36:J36"/>
    <mergeCell ref="H37:J37"/>
    <mergeCell ref="H38:J38"/>
    <mergeCell ref="A38:G38"/>
    <mergeCell ref="L39:M41"/>
    <mergeCell ref="A42:M42"/>
    <mergeCell ref="B43:H43"/>
    <mergeCell ref="I43:J43"/>
    <mergeCell ref="A39:J41"/>
    <mergeCell ref="A51:A52"/>
    <mergeCell ref="B51:B52"/>
    <mergeCell ref="C51:H52"/>
    <mergeCell ref="I51:J52"/>
    <mergeCell ref="L51:L52"/>
    <mergeCell ref="M51:M52"/>
    <mergeCell ref="C44:H44"/>
    <mergeCell ref="I44:J44"/>
    <mergeCell ref="A45:A46"/>
    <mergeCell ref="B45:B46"/>
    <mergeCell ref="C45:H46"/>
    <mergeCell ref="I45:J46"/>
    <mergeCell ref="K45:K46"/>
    <mergeCell ref="I49:J50"/>
    <mergeCell ref="L49:L50"/>
    <mergeCell ref="C47:H47"/>
    <mergeCell ref="I47:J47"/>
    <mergeCell ref="C48:H48"/>
    <mergeCell ref="A49:A50"/>
    <mergeCell ref="L45:L46"/>
    <mergeCell ref="M45:M46"/>
    <mergeCell ref="F75:G75"/>
    <mergeCell ref="O75:R75"/>
    <mergeCell ref="F76:G76"/>
    <mergeCell ref="O76:R76"/>
    <mergeCell ref="F78:G78"/>
    <mergeCell ref="C53:H53"/>
    <mergeCell ref="C54:H54"/>
    <mergeCell ref="I54:J54"/>
    <mergeCell ref="C55:H55"/>
    <mergeCell ref="I55:J55"/>
    <mergeCell ref="C56:H56"/>
    <mergeCell ref="I56:J56"/>
    <mergeCell ref="I60:J62"/>
    <mergeCell ref="K60:K62"/>
    <mergeCell ref="L60:L62"/>
    <mergeCell ref="M60:M62"/>
    <mergeCell ref="C57:H57"/>
    <mergeCell ref="I57:J57"/>
    <mergeCell ref="C59:H59"/>
    <mergeCell ref="I59:J59"/>
    <mergeCell ref="I48:J48"/>
    <mergeCell ref="M49:M50"/>
    <mergeCell ref="D95:D96"/>
    <mergeCell ref="E95:E96"/>
    <mergeCell ref="K102:K103"/>
    <mergeCell ref="K105:K106"/>
    <mergeCell ref="F112:G112"/>
    <mergeCell ref="L112:L114"/>
    <mergeCell ref="M112:M114"/>
    <mergeCell ref="F113:G113"/>
    <mergeCell ref="F114:G114"/>
    <mergeCell ref="D105:D106"/>
    <mergeCell ref="F111:G111"/>
    <mergeCell ref="L116:L120"/>
    <mergeCell ref="M116:M120"/>
    <mergeCell ref="F117:G117"/>
    <mergeCell ref="L81:L84"/>
    <mergeCell ref="J95:J96"/>
    <mergeCell ref="F92:G92"/>
    <mergeCell ref="F93:G93"/>
    <mergeCell ref="F94:G94"/>
    <mergeCell ref="E105:E106"/>
    <mergeCell ref="E85:M85"/>
    <mergeCell ref="F86:G86"/>
    <mergeCell ref="H83:H84"/>
    <mergeCell ref="I83:I84"/>
    <mergeCell ref="J83:J84"/>
    <mergeCell ref="K83:K84"/>
    <mergeCell ref="F83:G83"/>
    <mergeCell ref="F87:G87"/>
    <mergeCell ref="F89:G89"/>
    <mergeCell ref="F90:G90"/>
    <mergeCell ref="E91:M91"/>
    <mergeCell ref="L150:L151"/>
    <mergeCell ref="M150:M151"/>
    <mergeCell ref="A141:H141"/>
    <mergeCell ref="A142:M144"/>
    <mergeCell ref="O154:R154"/>
    <mergeCell ref="F159:G159"/>
    <mergeCell ref="L152:L157"/>
    <mergeCell ref="L158:L161"/>
    <mergeCell ref="M158:M161"/>
    <mergeCell ref="F160:G160"/>
    <mergeCell ref="F161:G161"/>
    <mergeCell ref="O161:R161"/>
    <mergeCell ref="H150:H151"/>
    <mergeCell ref="L149:M149"/>
    <mergeCell ref="O125:S125"/>
    <mergeCell ref="F126:G126"/>
    <mergeCell ref="F127:G127"/>
    <mergeCell ref="F128:G128"/>
    <mergeCell ref="O128:Q128"/>
    <mergeCell ref="F129:G129"/>
    <mergeCell ref="O129:Q129"/>
    <mergeCell ref="O132:P132"/>
    <mergeCell ref="O133:P133"/>
    <mergeCell ref="L125:L129"/>
    <mergeCell ref="M125:M129"/>
    <mergeCell ref="F131:G131"/>
    <mergeCell ref="F132:G132"/>
    <mergeCell ref="F133:G133"/>
    <mergeCell ref="F125:G125"/>
    <mergeCell ref="M130:M132"/>
    <mergeCell ref="L133:L136"/>
    <mergeCell ref="F134:G134"/>
    <mergeCell ref="M133:M136"/>
    <mergeCell ref="F130:G130"/>
    <mergeCell ref="O130:Q130"/>
    <mergeCell ref="L301:L304"/>
    <mergeCell ref="M301:M304"/>
    <mergeCell ref="M257:M260"/>
    <mergeCell ref="M263:M266"/>
    <mergeCell ref="L264:L266"/>
    <mergeCell ref="M267:M269"/>
    <mergeCell ref="L268:L269"/>
    <mergeCell ref="L271:L274"/>
    <mergeCell ref="M271:M274"/>
    <mergeCell ref="M294:M296"/>
    <mergeCell ref="A278:M278"/>
    <mergeCell ref="E279:G280"/>
    <mergeCell ref="H279:H280"/>
    <mergeCell ref="I279:J279"/>
    <mergeCell ref="F291:G291"/>
    <mergeCell ref="E293:G293"/>
    <mergeCell ref="F295:G295"/>
    <mergeCell ref="F272:G272"/>
    <mergeCell ref="F273:G273"/>
    <mergeCell ref="F259:G259"/>
    <mergeCell ref="F287:G287"/>
    <mergeCell ref="F263:G263"/>
    <mergeCell ref="A198:A199"/>
    <mergeCell ref="F202:G202"/>
    <mergeCell ref="F198:G198"/>
    <mergeCell ref="I150:I151"/>
    <mergeCell ref="J150:J151"/>
    <mergeCell ref="K150:K151"/>
    <mergeCell ref="F175:G175"/>
    <mergeCell ref="F172:G172"/>
    <mergeCell ref="F173:G173"/>
    <mergeCell ref="F167:G167"/>
    <mergeCell ref="F162:G162"/>
    <mergeCell ref="J198:J199"/>
    <mergeCell ref="F200:G200"/>
    <mergeCell ref="F189:G189"/>
    <mergeCell ref="A191:H191"/>
    <mergeCell ref="H198:H199"/>
    <mergeCell ref="F271:G271"/>
    <mergeCell ref="F269:G269"/>
    <mergeCell ref="E214:G214"/>
    <mergeCell ref="F204:G204"/>
    <mergeCell ref="B198:B199"/>
    <mergeCell ref="C198:C199"/>
    <mergeCell ref="D198:D199"/>
    <mergeCell ref="A150:A151"/>
    <mergeCell ref="I198:I199"/>
    <mergeCell ref="B196:B197"/>
    <mergeCell ref="C196:C197"/>
    <mergeCell ref="F185:G185"/>
    <mergeCell ref="F186:G186"/>
    <mergeCell ref="F187:G187"/>
    <mergeCell ref="F188:G188"/>
    <mergeCell ref="A192:M192"/>
    <mergeCell ref="J196:J197"/>
    <mergeCell ref="K196:K197"/>
    <mergeCell ref="F190:G190"/>
    <mergeCell ref="H193:H194"/>
    <mergeCell ref="I193:J193"/>
    <mergeCell ref="M193:M194"/>
    <mergeCell ref="A196:A197"/>
    <mergeCell ref="D196:D197"/>
    <mergeCell ref="L171:L173"/>
    <mergeCell ref="M171:M173"/>
    <mergeCell ref="M162:M167"/>
    <mergeCell ref="M152:M157"/>
    <mergeCell ref="M180:M182"/>
    <mergeCell ref="M174:M176"/>
    <mergeCell ref="F163:G163"/>
    <mergeCell ref="F164:G164"/>
    <mergeCell ref="F165:G165"/>
    <mergeCell ref="L177:L179"/>
    <mergeCell ref="H196:H197"/>
    <mergeCell ref="I196:I197"/>
    <mergeCell ref="L174:L176"/>
    <mergeCell ref="L193:L194"/>
    <mergeCell ref="F176:G176"/>
    <mergeCell ref="M196:M197"/>
    <mergeCell ref="F183:G183"/>
    <mergeCell ref="F184:G184"/>
    <mergeCell ref="F181:G181"/>
    <mergeCell ref="F182:G182"/>
    <mergeCell ref="M177:M179"/>
    <mergeCell ref="M184:M186"/>
    <mergeCell ref="F177:G177"/>
    <mergeCell ref="F178:G178"/>
    <mergeCell ref="F179:G179"/>
    <mergeCell ref="F180:G180"/>
    <mergeCell ref="L180:L182"/>
    <mergeCell ref="L196:L197"/>
    <mergeCell ref="F255:G255"/>
    <mergeCell ref="M215:M217"/>
    <mergeCell ref="L215:L217"/>
    <mergeCell ref="F258:G258"/>
    <mergeCell ref="L248:L250"/>
    <mergeCell ref="M200:M202"/>
    <mergeCell ref="M198:M199"/>
    <mergeCell ref="L198:L199"/>
    <mergeCell ref="F201:G201"/>
    <mergeCell ref="M248:M250"/>
    <mergeCell ref="L253:L256"/>
    <mergeCell ref="M253:M256"/>
    <mergeCell ref="L257:L260"/>
    <mergeCell ref="O237:R237"/>
    <mergeCell ref="F237:G237"/>
    <mergeCell ref="L235:L237"/>
    <mergeCell ref="F210:G210"/>
    <mergeCell ref="M209:M211"/>
    <mergeCell ref="O238:S238"/>
    <mergeCell ref="O253:R253"/>
    <mergeCell ref="O258:R258"/>
    <mergeCell ref="O259:Q259"/>
    <mergeCell ref="F215:G215"/>
    <mergeCell ref="F216:G216"/>
    <mergeCell ref="F217:G217"/>
    <mergeCell ref="F218:G218"/>
    <mergeCell ref="M231:M233"/>
    <mergeCell ref="F238:G238"/>
    <mergeCell ref="F239:G239"/>
    <mergeCell ref="F240:G240"/>
    <mergeCell ref="E247:G247"/>
    <mergeCell ref="F248:G248"/>
    <mergeCell ref="F249:G249"/>
    <mergeCell ref="F250:G250"/>
    <mergeCell ref="F251:G251"/>
    <mergeCell ref="F253:G253"/>
    <mergeCell ref="F254:G254"/>
    <mergeCell ref="F206:G206"/>
    <mergeCell ref="E208:G208"/>
    <mergeCell ref="F209:G209"/>
    <mergeCell ref="L209:L211"/>
    <mergeCell ref="M220:M222"/>
    <mergeCell ref="L225:L228"/>
    <mergeCell ref="M225:M228"/>
    <mergeCell ref="L231:L233"/>
    <mergeCell ref="M235:M237"/>
    <mergeCell ref="F232:G232"/>
    <mergeCell ref="F233:G233"/>
    <mergeCell ref="O184:S184"/>
    <mergeCell ref="E193:G194"/>
    <mergeCell ref="F196:G196"/>
    <mergeCell ref="E219:G219"/>
    <mergeCell ref="F235:G235"/>
    <mergeCell ref="F236:G236"/>
    <mergeCell ref="O211:S211"/>
    <mergeCell ref="O214:S214"/>
    <mergeCell ref="O222:S222"/>
    <mergeCell ref="O226:S226"/>
    <mergeCell ref="O232:R232"/>
    <mergeCell ref="O233:S233"/>
    <mergeCell ref="F211:G211"/>
    <mergeCell ref="F212:G212"/>
    <mergeCell ref="F213:G213"/>
    <mergeCell ref="F234:G234"/>
    <mergeCell ref="L220:L222"/>
    <mergeCell ref="M187:M189"/>
    <mergeCell ref="L184:L186"/>
    <mergeCell ref="L187:L189"/>
    <mergeCell ref="L203:L206"/>
    <mergeCell ref="M203:M206"/>
    <mergeCell ref="O196:S196"/>
    <mergeCell ref="O200:S200"/>
    <mergeCell ref="L332:M332"/>
    <mergeCell ref="I330:J330"/>
    <mergeCell ref="L330:L331"/>
    <mergeCell ref="O210:R210"/>
    <mergeCell ref="F282:G282"/>
    <mergeCell ref="F283:G283"/>
    <mergeCell ref="F284:G284"/>
    <mergeCell ref="F285:G285"/>
    <mergeCell ref="F286:G286"/>
    <mergeCell ref="F220:G220"/>
    <mergeCell ref="F221:G221"/>
    <mergeCell ref="F222:G222"/>
    <mergeCell ref="F223:G223"/>
    <mergeCell ref="E224:G224"/>
    <mergeCell ref="F225:G225"/>
    <mergeCell ref="F226:G226"/>
    <mergeCell ref="F227:G227"/>
    <mergeCell ref="F228:G228"/>
    <mergeCell ref="E230:G230"/>
    <mergeCell ref="F231:G231"/>
    <mergeCell ref="F256:G256"/>
    <mergeCell ref="O261:S261"/>
    <mergeCell ref="F257:G257"/>
    <mergeCell ref="O235:R235"/>
    <mergeCell ref="F351:G351"/>
    <mergeCell ref="F335:G335"/>
    <mergeCell ref="F337:G337"/>
    <mergeCell ref="F340:G340"/>
    <mergeCell ref="F341:G341"/>
    <mergeCell ref="F342:G342"/>
    <mergeCell ref="F346:G346"/>
    <mergeCell ref="F352:G352"/>
    <mergeCell ref="F339:G339"/>
    <mergeCell ref="F338:G338"/>
    <mergeCell ref="E330:G331"/>
    <mergeCell ref="F297:G297"/>
    <mergeCell ref="F298:G298"/>
    <mergeCell ref="F299:G299"/>
    <mergeCell ref="F300:G300"/>
    <mergeCell ref="F322:G322"/>
    <mergeCell ref="F310:G310"/>
    <mergeCell ref="F302:G302"/>
    <mergeCell ref="F303:G303"/>
    <mergeCell ref="F304:G304"/>
    <mergeCell ref="F305:G305"/>
    <mergeCell ref="F311:G311"/>
    <mergeCell ref="F312:G312"/>
    <mergeCell ref="F313:G313"/>
    <mergeCell ref="F315:G315"/>
    <mergeCell ref="F324:G324"/>
    <mergeCell ref="F319:G319"/>
    <mergeCell ref="F317:G317"/>
    <mergeCell ref="A328:H328"/>
    <mergeCell ref="H330:H331"/>
    <mergeCell ref="A329:M329"/>
    <mergeCell ref="A307:A308"/>
    <mergeCell ref="B307:B308"/>
    <mergeCell ref="E307:E308"/>
    <mergeCell ref="A361:A362"/>
    <mergeCell ref="B361:B362"/>
    <mergeCell ref="A369:A370"/>
    <mergeCell ref="B369:B370"/>
    <mergeCell ref="E369:E370"/>
    <mergeCell ref="C369:C370"/>
    <mergeCell ref="L365:M365"/>
    <mergeCell ref="D369:D370"/>
    <mergeCell ref="I369:I370"/>
    <mergeCell ref="J369:J370"/>
    <mergeCell ref="K369:K370"/>
    <mergeCell ref="C361:C362"/>
    <mergeCell ref="D361:D362"/>
    <mergeCell ref="E361:E362"/>
    <mergeCell ref="F361:G361"/>
    <mergeCell ref="M360:M363"/>
    <mergeCell ref="F360:G360"/>
    <mergeCell ref="F363:G363"/>
    <mergeCell ref="H369:H370"/>
    <mergeCell ref="L360:L362"/>
    <mergeCell ref="H360:H362"/>
    <mergeCell ref="I360:I362"/>
    <mergeCell ref="J360:J362"/>
    <mergeCell ref="K360:K362"/>
    <mergeCell ref="F364:G364"/>
    <mergeCell ref="F366:G366"/>
    <mergeCell ref="F367:G367"/>
    <mergeCell ref="O377:Q377"/>
    <mergeCell ref="O379:P379"/>
    <mergeCell ref="L377:L378"/>
    <mergeCell ref="M377:M378"/>
    <mergeCell ref="J377:J378"/>
    <mergeCell ref="K377:K378"/>
    <mergeCell ref="F376:G376"/>
    <mergeCell ref="F377:G377"/>
    <mergeCell ref="H377:H378"/>
    <mergeCell ref="I377:I378"/>
    <mergeCell ref="L368:L371"/>
    <mergeCell ref="M368:M371"/>
    <mergeCell ref="F368:G368"/>
    <mergeCell ref="F369:G369"/>
    <mergeCell ref="F371:G371"/>
    <mergeCell ref="F375:G375"/>
    <mergeCell ref="F372:G372"/>
    <mergeCell ref="F374:G374"/>
    <mergeCell ref="F373:G373"/>
    <mergeCell ref="F387:G387"/>
    <mergeCell ref="F392:G392"/>
    <mergeCell ref="F393:G393"/>
    <mergeCell ref="F388:G388"/>
    <mergeCell ref="F389:G389"/>
    <mergeCell ref="F390:G390"/>
    <mergeCell ref="F394:G394"/>
    <mergeCell ref="O387:Q387"/>
    <mergeCell ref="F397:G397"/>
    <mergeCell ref="L383:L384"/>
    <mergeCell ref="M383:M384"/>
    <mergeCell ref="O385:Q385"/>
    <mergeCell ref="F379:G379"/>
    <mergeCell ref="F380:G380"/>
    <mergeCell ref="A381:H381"/>
    <mergeCell ref="A382:M382"/>
    <mergeCell ref="E383:G384"/>
    <mergeCell ref="H383:H384"/>
    <mergeCell ref="I383:J383"/>
    <mergeCell ref="F385:G385"/>
    <mergeCell ref="F488:G488"/>
    <mergeCell ref="F480:G480"/>
    <mergeCell ref="F487:G487"/>
    <mergeCell ref="F461:G461"/>
    <mergeCell ref="F448:G448"/>
    <mergeCell ref="F450:G450"/>
    <mergeCell ref="F451:G451"/>
    <mergeCell ref="F452:G452"/>
    <mergeCell ref="F453:G453"/>
    <mergeCell ref="F454:G454"/>
    <mergeCell ref="F455:G455"/>
    <mergeCell ref="F459:G459"/>
    <mergeCell ref="F460:G460"/>
    <mergeCell ref="F463:G463"/>
    <mergeCell ref="F464:G464"/>
    <mergeCell ref="F465:G465"/>
    <mergeCell ref="F475:G475"/>
    <mergeCell ref="F466:G466"/>
    <mergeCell ref="F467:G467"/>
    <mergeCell ref="F468:G468"/>
    <mergeCell ref="F469:G469"/>
    <mergeCell ref="F470:G470"/>
    <mergeCell ref="F471:G471"/>
    <mergeCell ref="F472:G472"/>
    <mergeCell ref="F489:G489"/>
    <mergeCell ref="F490:G490"/>
    <mergeCell ref="F482:G482"/>
    <mergeCell ref="F413:G413"/>
    <mergeCell ref="F395:G395"/>
    <mergeCell ref="F411:G411"/>
    <mergeCell ref="F400:G400"/>
    <mergeCell ref="F401:G401"/>
    <mergeCell ref="F476:G476"/>
    <mergeCell ref="F477:G477"/>
    <mergeCell ref="F478:G478"/>
    <mergeCell ref="F414:G414"/>
    <mergeCell ref="F417:G417"/>
    <mergeCell ref="F418:G418"/>
    <mergeCell ref="F419:G419"/>
    <mergeCell ref="F420:G420"/>
    <mergeCell ref="F421:G421"/>
    <mergeCell ref="F422:G422"/>
    <mergeCell ref="F415:G415"/>
    <mergeCell ref="F435:G435"/>
    <mergeCell ref="F396:G396"/>
    <mergeCell ref="F412:G412"/>
    <mergeCell ref="F443:G443"/>
    <mergeCell ref="F479:G479"/>
    <mergeCell ref="O538:Q538"/>
    <mergeCell ref="O546:Q546"/>
    <mergeCell ref="F532:G532"/>
    <mergeCell ref="F533:G533"/>
    <mergeCell ref="F534:G534"/>
    <mergeCell ref="F535:G535"/>
    <mergeCell ref="F536:G536"/>
    <mergeCell ref="F537:G537"/>
    <mergeCell ref="F545:G545"/>
    <mergeCell ref="F546:G546"/>
    <mergeCell ref="B516:B517"/>
    <mergeCell ref="C516:C517"/>
    <mergeCell ref="D516:D517"/>
    <mergeCell ref="F547:G547"/>
    <mergeCell ref="A548:H548"/>
    <mergeCell ref="A549:M549"/>
    <mergeCell ref="F538:G538"/>
    <mergeCell ref="F539:G539"/>
    <mergeCell ref="F540:G540"/>
    <mergeCell ref="F541:G541"/>
    <mergeCell ref="F542:G542"/>
    <mergeCell ref="F543:G543"/>
    <mergeCell ref="F544:G544"/>
    <mergeCell ref="L537:L545"/>
    <mergeCell ref="M537:M545"/>
    <mergeCell ref="H516:H517"/>
    <mergeCell ref="A530:A531"/>
    <mergeCell ref="B530:B531"/>
    <mergeCell ref="C530:C531"/>
    <mergeCell ref="D530:D531"/>
    <mergeCell ref="E530:E531"/>
    <mergeCell ref="F530:G531"/>
    <mergeCell ref="H530:H531"/>
    <mergeCell ref="I530:I531"/>
    <mergeCell ref="J530:J531"/>
    <mergeCell ref="L530:L531"/>
    <mergeCell ref="M530:M531"/>
    <mergeCell ref="F527:G527"/>
    <mergeCell ref="F528:G528"/>
    <mergeCell ref="F529:G529"/>
    <mergeCell ref="K530:K531"/>
    <mergeCell ref="L525:L528"/>
    <mergeCell ref="M525:M528"/>
    <mergeCell ref="F525:G525"/>
    <mergeCell ref="F526:G526"/>
    <mergeCell ref="M516:M517"/>
    <mergeCell ref="F449:G449"/>
    <mergeCell ref="F518:G518"/>
    <mergeCell ref="L482:L502"/>
    <mergeCell ref="F483:G483"/>
    <mergeCell ref="F484:G484"/>
    <mergeCell ref="F485:G485"/>
    <mergeCell ref="F486:G486"/>
    <mergeCell ref="F502:G502"/>
    <mergeCell ref="F499:G499"/>
    <mergeCell ref="F500:G500"/>
    <mergeCell ref="A515:M515"/>
    <mergeCell ref="F509:G509"/>
    <mergeCell ref="F510:G510"/>
    <mergeCell ref="F511:G511"/>
    <mergeCell ref="F512:G512"/>
    <mergeCell ref="A514:H514"/>
    <mergeCell ref="M518:M524"/>
    <mergeCell ref="F523:G523"/>
    <mergeCell ref="L518:L524"/>
    <mergeCell ref="I516:J516"/>
    <mergeCell ref="L516:L517"/>
    <mergeCell ref="A516:A517"/>
    <mergeCell ref="F462:G462"/>
    <mergeCell ref="F522:G522"/>
    <mergeCell ref="F524:G524"/>
    <mergeCell ref="F491:G491"/>
    <mergeCell ref="F492:G492"/>
    <mergeCell ref="F493:G493"/>
    <mergeCell ref="F494:G494"/>
    <mergeCell ref="F495:G495"/>
    <mergeCell ref="F496:G496"/>
    <mergeCell ref="F504:G504"/>
    <mergeCell ref="F513:G513"/>
    <mergeCell ref="F501:G501"/>
    <mergeCell ref="F520:G520"/>
    <mergeCell ref="F521:G521"/>
    <mergeCell ref="F497:G497"/>
    <mergeCell ref="F498:G498"/>
    <mergeCell ref="F503:G503"/>
    <mergeCell ref="F505:G505"/>
    <mergeCell ref="F506:G506"/>
    <mergeCell ref="F519:G519"/>
    <mergeCell ref="E516:G517"/>
    <mergeCell ref="F508:G508"/>
    <mergeCell ref="F507:G507"/>
    <mergeCell ref="F473:G473"/>
    <mergeCell ref="F474:G474"/>
    <mergeCell ref="O484:R484"/>
    <mergeCell ref="L439:L440"/>
    <mergeCell ref="M439:M440"/>
    <mergeCell ref="L448:L454"/>
    <mergeCell ref="L470:L472"/>
    <mergeCell ref="M470:M472"/>
    <mergeCell ref="O455:S455"/>
    <mergeCell ref="O448:S448"/>
    <mergeCell ref="O464:R464"/>
    <mergeCell ref="O465:R465"/>
    <mergeCell ref="L473:L475"/>
    <mergeCell ref="M473:M475"/>
    <mergeCell ref="O482:R482"/>
    <mergeCell ref="O480:T480"/>
    <mergeCell ref="O483:R483"/>
    <mergeCell ref="F446:G446"/>
    <mergeCell ref="F447:G447"/>
    <mergeCell ref="K442:K443"/>
    <mergeCell ref="F442:G442"/>
    <mergeCell ref="I443:I444"/>
    <mergeCell ref="J443:J444"/>
    <mergeCell ref="H443:H444"/>
    <mergeCell ref="O422:P422"/>
    <mergeCell ref="O424:P424"/>
    <mergeCell ref="O393:P393"/>
    <mergeCell ref="O389:R389"/>
    <mergeCell ref="O352:P352"/>
    <mergeCell ref="F347:G347"/>
    <mergeCell ref="F348:G348"/>
    <mergeCell ref="F343:G343"/>
    <mergeCell ref="F344:G344"/>
    <mergeCell ref="F345:G345"/>
    <mergeCell ref="F355:G355"/>
    <mergeCell ref="O346:R346"/>
    <mergeCell ref="I357:I358"/>
    <mergeCell ref="J357:J358"/>
    <mergeCell ref="K357:K358"/>
    <mergeCell ref="M354:M356"/>
    <mergeCell ref="F359:G359"/>
    <mergeCell ref="O355:S355"/>
    <mergeCell ref="F349:G349"/>
    <mergeCell ref="F350:G350"/>
    <mergeCell ref="F353:G353"/>
    <mergeCell ref="F354:G354"/>
    <mergeCell ref="L346:L348"/>
    <mergeCell ref="M346:M348"/>
    <mergeCell ref="O359:Q359"/>
    <mergeCell ref="F356:G356"/>
    <mergeCell ref="F357:G357"/>
    <mergeCell ref="H357:H358"/>
    <mergeCell ref="O369:R369"/>
    <mergeCell ref="O370:Q370"/>
    <mergeCell ref="A438:M438"/>
    <mergeCell ref="F405:G405"/>
    <mergeCell ref="O397:S397"/>
    <mergeCell ref="O402:R402"/>
    <mergeCell ref="O410:R412"/>
    <mergeCell ref="O420:R420"/>
    <mergeCell ref="O423:T423"/>
    <mergeCell ref="L401:L406"/>
    <mergeCell ref="L407:L410"/>
    <mergeCell ref="M407:M410"/>
    <mergeCell ref="F407:G407"/>
    <mergeCell ref="F408:G408"/>
    <mergeCell ref="F409:G409"/>
    <mergeCell ref="F410:G410"/>
    <mergeCell ref="L372:L375"/>
    <mergeCell ref="M372:M375"/>
    <mergeCell ref="L357:L358"/>
    <mergeCell ref="M357:M358"/>
    <mergeCell ref="F436:G436"/>
    <mergeCell ref="A437:H437"/>
    <mergeCell ref="H439:H440"/>
    <mergeCell ref="E439:G440"/>
    <mergeCell ref="F430:G430"/>
    <mergeCell ref="D445:G445"/>
    <mergeCell ref="D441:G441"/>
    <mergeCell ref="L319:L323"/>
    <mergeCell ref="M319:M323"/>
    <mergeCell ref="I439:J439"/>
    <mergeCell ref="F429:G429"/>
    <mergeCell ref="F434:G434"/>
    <mergeCell ref="L417:L434"/>
    <mergeCell ref="F433:G433"/>
    <mergeCell ref="F432:G432"/>
    <mergeCell ref="F431:G431"/>
    <mergeCell ref="F423:G423"/>
    <mergeCell ref="F424:G424"/>
    <mergeCell ref="F425:G425"/>
    <mergeCell ref="F426:G426"/>
    <mergeCell ref="F427:G427"/>
    <mergeCell ref="F428:G428"/>
    <mergeCell ref="L396:L399"/>
    <mergeCell ref="M396:M399"/>
    <mergeCell ref="F398:G398"/>
    <mergeCell ref="F399:G399"/>
    <mergeCell ref="F391:G391"/>
    <mergeCell ref="L392:L395"/>
    <mergeCell ref="M392:M395"/>
    <mergeCell ref="M401:M406"/>
    <mergeCell ref="C307:C308"/>
    <mergeCell ref="D307:D308"/>
    <mergeCell ref="F327:G327"/>
    <mergeCell ref="M316:M318"/>
    <mergeCell ref="F318:G318"/>
    <mergeCell ref="L307:L308"/>
    <mergeCell ref="H307:H308"/>
    <mergeCell ref="I307:I308"/>
    <mergeCell ref="J307:J308"/>
    <mergeCell ref="K307:K308"/>
    <mergeCell ref="F307:G307"/>
    <mergeCell ref="F316:G316"/>
    <mergeCell ref="F323:G323"/>
    <mergeCell ref="F321:G321"/>
    <mergeCell ref="F402:G402"/>
    <mergeCell ref="F403:G403"/>
    <mergeCell ref="F406:G406"/>
    <mergeCell ref="F404:G404"/>
    <mergeCell ref="E306:G306"/>
    <mergeCell ref="L279:L280"/>
    <mergeCell ref="M279:M280"/>
    <mergeCell ref="L281:M281"/>
    <mergeCell ref="O358:Q358"/>
    <mergeCell ref="O349:R349"/>
    <mergeCell ref="L354:L356"/>
    <mergeCell ref="O343:R343"/>
    <mergeCell ref="O308:R308"/>
    <mergeCell ref="O311:Q311"/>
    <mergeCell ref="O341:R341"/>
    <mergeCell ref="O342:R342"/>
    <mergeCell ref="M330:M331"/>
    <mergeCell ref="M324:M326"/>
    <mergeCell ref="L351:L353"/>
    <mergeCell ref="M351:M353"/>
    <mergeCell ref="M333:M335"/>
    <mergeCell ref="L333:L335"/>
    <mergeCell ref="O324:S324"/>
    <mergeCell ref="M307:M308"/>
    <mergeCell ref="L340:L345"/>
    <mergeCell ref="M340:M345"/>
    <mergeCell ref="O334:R334"/>
    <mergeCell ref="O336:R336"/>
    <mergeCell ref="O339:Q339"/>
    <mergeCell ref="O326:R326"/>
    <mergeCell ref="L313:L315"/>
    <mergeCell ref="M313:M315"/>
    <mergeCell ref="F243:G243"/>
    <mergeCell ref="F246:G246"/>
    <mergeCell ref="F245:G245"/>
    <mergeCell ref="F244:G244"/>
    <mergeCell ref="L200:L202"/>
    <mergeCell ref="L336:L338"/>
    <mergeCell ref="M336:M338"/>
    <mergeCell ref="O283:Q283"/>
    <mergeCell ref="O284:R284"/>
    <mergeCell ref="O285:R285"/>
    <mergeCell ref="F274:G274"/>
    <mergeCell ref="F275:G275"/>
    <mergeCell ref="F276:G276"/>
    <mergeCell ref="O290:R290"/>
    <mergeCell ref="F288:G288"/>
    <mergeCell ref="O300:Q300"/>
    <mergeCell ref="L316:L318"/>
    <mergeCell ref="L324:L326"/>
    <mergeCell ref="O317:P317"/>
    <mergeCell ref="F314:G314"/>
    <mergeCell ref="O305:R305"/>
    <mergeCell ref="F260:G260"/>
    <mergeCell ref="F261:G261"/>
    <mergeCell ref="O204:R204"/>
    <mergeCell ref="O209:S209"/>
    <mergeCell ref="L289:L291"/>
    <mergeCell ref="M289:M291"/>
    <mergeCell ref="L294:L296"/>
    <mergeCell ref="O263:R263"/>
    <mergeCell ref="F265:G265"/>
    <mergeCell ref="F266:G266"/>
    <mergeCell ref="F267:G267"/>
    <mergeCell ref="F268:G268"/>
    <mergeCell ref="A277:H277"/>
    <mergeCell ref="F270:G270"/>
    <mergeCell ref="O291:R291"/>
    <mergeCell ref="F289:G289"/>
    <mergeCell ref="F290:G290"/>
    <mergeCell ref="F294:G294"/>
    <mergeCell ref="O282:R282"/>
    <mergeCell ref="E241:G241"/>
    <mergeCell ref="F242:G242"/>
    <mergeCell ref="O236:R236"/>
    <mergeCell ref="D207:L207"/>
  </mergeCells>
  <conditionalFormatting sqref="O8">
    <cfRule type="notContainsBlanks" dxfId="3" priority="1">
      <formula>LEN(TRIM(O8))&gt;0</formula>
    </cfRule>
  </conditionalFormatting>
  <conditionalFormatting sqref="H33:J33">
    <cfRule type="containsBlanks" dxfId="2" priority="3">
      <formula>LEN(TRIM(H33))=0</formula>
    </cfRule>
  </conditionalFormatting>
  <conditionalFormatting sqref="H33:J33">
    <cfRule type="containsBlanks" dxfId="1" priority="4">
      <formula>LEN(TRIM(H33))=0</formula>
    </cfRule>
  </conditionalFormatting>
  <conditionalFormatting sqref="H33:J33">
    <cfRule type="containsBlanks" dxfId="0" priority="5">
      <formula>LEN(TRIM(H33))=0</formula>
    </cfRule>
  </conditionalFormatting>
  <hyperlinks>
    <hyperlink ref="O44" r:id="rId1" xr:uid="{00000000-0004-0000-0000-000000000000}"/>
    <hyperlink ref="O45" r:id="rId2" xr:uid="{00000000-0004-0000-0000-000001000000}"/>
    <hyperlink ref="O47" r:id="rId3" xr:uid="{00000000-0004-0000-0000-000002000000}"/>
    <hyperlink ref="O49" r:id="rId4" xr:uid="{00000000-0004-0000-0000-000003000000}"/>
    <hyperlink ref="O53" r:id="rId5" xr:uid="{00000000-0004-0000-0000-000004000000}"/>
    <hyperlink ref="O95" r:id="rId6" display="http://www.invasive.org/species/weeds.cfm" xr:uid="{00000000-0004-0000-0000-000005000000}"/>
    <hyperlink ref="O100" r:id="rId7" xr:uid="{00000000-0004-0000-0000-000006000000}"/>
    <hyperlink ref="O101" r:id="rId8" xr:uid="{00000000-0004-0000-0000-000007000000}"/>
    <hyperlink ref="O121" r:id="rId9" xr:uid="{00000000-0004-0000-0000-000008000000}"/>
    <hyperlink ref="O128" r:id="rId10" xr:uid="{00000000-0004-0000-0000-000009000000}"/>
    <hyperlink ref="O184" r:id="rId11" xr:uid="{00000000-0004-0000-0000-00000A000000}"/>
    <hyperlink ref="O188" r:id="rId12" xr:uid="{00000000-0004-0000-0000-00000B000000}"/>
    <hyperlink ref="O196" r:id="rId13" xr:uid="{00000000-0004-0000-0000-00000C000000}"/>
    <hyperlink ref="O204" r:id="rId14" xr:uid="{00000000-0004-0000-0000-00000D000000}"/>
    <hyperlink ref="O209" r:id="rId15" location="block-views-guide-static-blocks-block-1" xr:uid="{00000000-0004-0000-0000-00000E000000}"/>
    <hyperlink ref="O211" r:id="rId16" xr:uid="{00000000-0004-0000-0000-00000F000000}"/>
    <hyperlink ref="O219" r:id="rId17" xr:uid="{00000000-0004-0000-0000-000010000000}"/>
    <hyperlink ref="O220" r:id="rId18" xr:uid="{00000000-0004-0000-0000-000011000000}"/>
    <hyperlink ref="O226" r:id="rId19" xr:uid="{00000000-0004-0000-0000-000012000000}"/>
    <hyperlink ref="O236" r:id="rId20" xr:uid="{00000000-0004-0000-0000-000013000000}"/>
    <hyperlink ref="O238" r:id="rId21" xr:uid="{00000000-0004-0000-0000-000014000000}"/>
    <hyperlink ref="O253" r:id="rId22" xr:uid="{00000000-0004-0000-0000-000015000000}"/>
    <hyperlink ref="O254" r:id="rId23" xr:uid="{00000000-0004-0000-0000-000016000000}"/>
    <hyperlink ref="O255" r:id="rId24" xr:uid="{00000000-0004-0000-0000-000017000000}"/>
    <hyperlink ref="O261" r:id="rId25" xr:uid="{00000000-0004-0000-0000-000018000000}"/>
    <hyperlink ref="O263" r:id="rId26" xr:uid="{00000000-0004-0000-0000-000019000000}"/>
    <hyperlink ref="O267" r:id="rId27" xr:uid="{00000000-0004-0000-0000-00001A000000}"/>
    <hyperlink ref="O284" r:id="rId28" xr:uid="{00000000-0004-0000-0000-00001B000000}"/>
    <hyperlink ref="O285" r:id="rId29" xr:uid="{00000000-0004-0000-0000-00001C000000}"/>
    <hyperlink ref="O297" r:id="rId30" xr:uid="{00000000-0004-0000-0000-00001D000000}"/>
    <hyperlink ref="O299" r:id="rId31" xr:uid="{00000000-0004-0000-0000-00001E000000}"/>
    <hyperlink ref="O302" r:id="rId32" xr:uid="{00000000-0004-0000-0000-00001F000000}"/>
    <hyperlink ref="O305" r:id="rId33" xr:uid="{00000000-0004-0000-0000-000020000000}"/>
    <hyperlink ref="O307" r:id="rId34" xr:uid="{00000000-0004-0000-0000-000021000000}"/>
    <hyperlink ref="O308" r:id="rId35" xr:uid="{00000000-0004-0000-0000-000022000000}"/>
    <hyperlink ref="O311" r:id="rId36" xr:uid="{00000000-0004-0000-0000-000023000000}"/>
    <hyperlink ref="O312" r:id="rId37" xr:uid="{00000000-0004-0000-0000-000024000000}"/>
    <hyperlink ref="O317" r:id="rId38" xr:uid="{00000000-0004-0000-0000-000025000000}"/>
    <hyperlink ref="O325" r:id="rId39" xr:uid="{00000000-0004-0000-0000-000026000000}"/>
    <hyperlink ref="O334" r:id="rId40" xr:uid="{00000000-0004-0000-0000-000027000000}"/>
    <hyperlink ref="O336" r:id="rId41" xr:uid="{00000000-0004-0000-0000-000028000000}"/>
    <hyperlink ref="O341" r:id="rId42" xr:uid="{00000000-0004-0000-0000-000029000000}"/>
    <hyperlink ref="O342" r:id="rId43" xr:uid="{00000000-0004-0000-0000-00002A000000}"/>
    <hyperlink ref="O352" r:id="rId44" xr:uid="{00000000-0004-0000-0000-00002B000000}"/>
    <hyperlink ref="O358" r:id="rId45" display="DOE: Lighting Contols" xr:uid="{00000000-0004-0000-0000-00002C000000}"/>
    <hyperlink ref="O362" r:id="rId46" xr:uid="{00000000-0004-0000-0000-00002D000000}"/>
    <hyperlink ref="O368" r:id="rId47" xr:uid="{00000000-0004-0000-0000-00002E000000}"/>
    <hyperlink ref="O369" r:id="rId48" xr:uid="{00000000-0004-0000-0000-00002F000000}"/>
    <hyperlink ref="O379" r:id="rId49" xr:uid="{00000000-0004-0000-0000-000030000000}"/>
    <hyperlink ref="O385" r:id="rId50" xr:uid="{00000000-0004-0000-0000-000031000000}"/>
    <hyperlink ref="O388" r:id="rId51" xr:uid="{00000000-0004-0000-0000-000033000000}"/>
    <hyperlink ref="O397" r:id="rId52" xr:uid="{00000000-0004-0000-0000-000034000000}"/>
    <hyperlink ref="O402" r:id="rId53" xr:uid="{00000000-0004-0000-0000-000035000000}"/>
    <hyperlink ref="O410" r:id="rId54" location="Detectors" xr:uid="{00000000-0004-0000-0000-000036000000}"/>
    <hyperlink ref="O413" r:id="rId55" xr:uid="{00000000-0004-0000-0000-000037000000}"/>
    <hyperlink ref="O414" r:id="rId56" xr:uid="{00000000-0004-0000-0000-000038000000}"/>
    <hyperlink ref="O420" r:id="rId57" xr:uid="{00000000-0004-0000-0000-000039000000}"/>
    <hyperlink ref="O448" r:id="rId58" xr:uid="{00000000-0004-0000-0000-00003A000000}"/>
    <hyperlink ref="O455" r:id="rId59" xr:uid="{00000000-0004-0000-0000-00003B000000}"/>
    <hyperlink ref="O461" r:id="rId60" xr:uid="{00000000-0004-0000-0000-00003C000000}"/>
    <hyperlink ref="O465" r:id="rId61" xr:uid="{00000000-0004-0000-0000-00003D000000}"/>
    <hyperlink ref="O468" r:id="rId62" xr:uid="{00000000-0004-0000-0000-00003E000000}"/>
    <hyperlink ref="O504" r:id="rId63" xr:uid="{00000000-0004-0000-0000-00003F000000}"/>
    <hyperlink ref="O527" r:id="rId64" xr:uid="{00000000-0004-0000-0000-000040000000}"/>
    <hyperlink ref="O529" r:id="rId65" xr:uid="{00000000-0004-0000-0000-000041000000}"/>
    <hyperlink ref="O546" r:id="rId66" xr:uid="{00000000-0004-0000-0000-000042000000}"/>
    <hyperlink ref="O48" r:id="rId67" xr:uid="{00000000-0004-0000-0000-000043000000}"/>
    <hyperlink ref="O294" r:id="rId68" xr:uid="{00000000-0004-0000-0000-000044000000}"/>
    <hyperlink ref="O391" r:id="rId69" xr:uid="{00000000-0004-0000-0000-000045000000}"/>
    <hyperlink ref="R391" r:id="rId70" xr:uid="{00000000-0004-0000-0000-000046000000}"/>
    <hyperlink ref="O374" r:id="rId71" xr:uid="{00000000-0004-0000-0000-000047000000}"/>
    <hyperlink ref="O375" r:id="rId72" xr:uid="{00000000-0004-0000-0000-000048000000}"/>
    <hyperlink ref="O524" r:id="rId73" display="BPI Healty Home Evaluator" xr:uid="{00000000-0004-0000-0000-000049000000}"/>
    <hyperlink ref="O96:R96" r:id="rId74" location=":~:text=Such%20guidelines%20include%3A%20prominently%20mark,other%20materials%20in%20restricted%20areas." display="Protecting Trees During Construction" xr:uid="{00000000-0004-0000-0000-00004A000000}"/>
    <hyperlink ref="O62" r:id="rId75" display="EPA's Radon Standards of Practice" xr:uid="{00000000-0004-0000-0000-00004B000000}"/>
    <hyperlink ref="O122" r:id="rId76" xr:uid="{EA3193C3-F0F7-4796-AF49-312A8836FB76}"/>
  </hyperlinks>
  <pageMargins left="0.7" right="0.7" top="0.75" bottom="0.75" header="0" footer="0"/>
  <pageSetup scale="64" fitToHeight="0" orientation="portrait" horizontalDpi="300" verticalDpi="300" r:id="rId77"/>
  <rowBreaks count="6" manualBreakCount="6">
    <brk id="41" max="12" man="1"/>
    <brk id="192" max="12" man="1"/>
    <brk id="261" max="12" man="1"/>
    <brk id="308" max="12" man="1"/>
    <brk id="415" max="12" man="1"/>
    <brk id="480" max="12" man="1"/>
  </rowBreaks>
  <ignoredErrors>
    <ignoredError sqref="H196 H369 H198" twoDigitTextYear="1"/>
    <ignoredError sqref="O427 J122 J321" formula="1"/>
    <ignoredError sqref="H442" numberStoredAsText="1"/>
  </ignoredErrors>
  <drawing r:id="rId78"/>
  <legacyDrawing r:id="rId7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GBHv3MFRev1-ChangesInRed</vt:lpstr>
      <vt:lpstr>'GBHv3MFRev1-ChangesInRed'!Print_Area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Leigha Dickens</cp:lastModifiedBy>
  <cp:lastPrinted>2020-09-02T13:56:00Z</cp:lastPrinted>
  <dcterms:created xsi:type="dcterms:W3CDTF">2020-02-26T17:55:12Z</dcterms:created>
  <dcterms:modified xsi:type="dcterms:W3CDTF">2022-11-18T17:03:27Z</dcterms:modified>
</cp:coreProperties>
</file>